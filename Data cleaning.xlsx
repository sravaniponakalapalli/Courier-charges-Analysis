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rava\Desktop\excel csv files\"/>
    </mc:Choice>
  </mc:AlternateContent>
  <xr:revisionPtr revIDLastSave="0" documentId="13_ncr:1_{6300C7EB-8265-4882-9915-5FA400E732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6" sheetId="11" r:id="rId1"/>
    <sheet name="Order Report" sheetId="1" r:id="rId2"/>
    <sheet name="SKU Master" sheetId="4" r:id="rId3"/>
    <sheet name="Pincode Zones" sheetId="3" r:id="rId4"/>
    <sheet name="Courier company invoice" sheetId="5" r:id="rId5"/>
    <sheet name="Courier company Rates" sheetId="6" r:id="rId6"/>
  </sheets>
  <definedNames>
    <definedName name="_xlnm._FilterDatabase" localSheetId="1" hidden="1">'Order Report'!$A$1:$D$1</definedName>
    <definedName name="ExternalData_1" localSheetId="4" hidden="1">'Courier company invoice'!$A$1:$H$125</definedName>
    <definedName name="ExternalData_1" localSheetId="5" hidden="1">'Courier company Rates'!$A$1:$T$2</definedName>
    <definedName name="ExternalData_1" localSheetId="3" hidden="1">'Pincode Zones'!$A$1:$C$125</definedName>
    <definedName name="ExternalData_1" localSheetId="2" hidden="1">'SKU Master'!$A$1:$B$67</definedName>
  </definedNames>
  <calcPr calcId="191029"/>
  <pivotCaches>
    <pivotCache cacheId="3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O2" i="1" s="1"/>
  <c r="B3" i="1"/>
  <c r="O3" i="1" s="1"/>
  <c r="B4" i="1"/>
  <c r="O4" i="1" s="1"/>
  <c r="B5" i="1"/>
  <c r="O5" i="1" s="1"/>
  <c r="B6" i="1"/>
  <c r="O6" i="1" s="1"/>
  <c r="B7" i="1"/>
  <c r="O7" i="1" s="1"/>
  <c r="B8" i="1"/>
  <c r="O8" i="1" s="1"/>
  <c r="B9" i="1"/>
  <c r="O9" i="1" s="1"/>
  <c r="B10" i="1"/>
  <c r="O10" i="1" s="1"/>
  <c r="B11" i="1"/>
  <c r="O11" i="1" s="1"/>
  <c r="B12" i="1"/>
  <c r="O12" i="1" s="1"/>
  <c r="B13" i="1"/>
  <c r="O13" i="1" s="1"/>
  <c r="B14" i="1"/>
  <c r="O14" i="1" s="1"/>
  <c r="B15" i="1"/>
  <c r="O15" i="1" s="1"/>
  <c r="B16" i="1"/>
  <c r="O16" i="1" s="1"/>
  <c r="B17" i="1"/>
  <c r="O17" i="1" s="1"/>
  <c r="B18" i="1"/>
  <c r="O18" i="1" s="1"/>
  <c r="B19" i="1"/>
  <c r="O19" i="1" s="1"/>
  <c r="B20" i="1"/>
  <c r="O20" i="1" s="1"/>
  <c r="B21" i="1"/>
  <c r="O21" i="1" s="1"/>
  <c r="B22" i="1"/>
  <c r="O22" i="1" s="1"/>
  <c r="B23" i="1"/>
  <c r="O23" i="1" s="1"/>
  <c r="B24" i="1"/>
  <c r="O24" i="1" s="1"/>
  <c r="B25" i="1"/>
  <c r="O25" i="1" s="1"/>
  <c r="B26" i="1"/>
  <c r="O26" i="1" s="1"/>
  <c r="B27" i="1"/>
  <c r="O27" i="1" s="1"/>
  <c r="B28" i="1"/>
  <c r="O28" i="1" s="1"/>
  <c r="B29" i="1"/>
  <c r="O29" i="1" s="1"/>
  <c r="B30" i="1"/>
  <c r="O30" i="1" s="1"/>
  <c r="B31" i="1"/>
  <c r="O31" i="1" s="1"/>
  <c r="B32" i="1"/>
  <c r="O32" i="1" s="1"/>
  <c r="B33" i="1"/>
  <c r="O33" i="1" s="1"/>
  <c r="B34" i="1"/>
  <c r="O34" i="1" s="1"/>
  <c r="B35" i="1"/>
  <c r="O35" i="1" s="1"/>
  <c r="B36" i="1"/>
  <c r="O36" i="1" s="1"/>
  <c r="B37" i="1"/>
  <c r="O37" i="1" s="1"/>
  <c r="B38" i="1"/>
  <c r="O38" i="1" s="1"/>
  <c r="B39" i="1"/>
  <c r="O39" i="1" s="1"/>
  <c r="B40" i="1"/>
  <c r="O40" i="1" s="1"/>
  <c r="B41" i="1"/>
  <c r="O41" i="1" s="1"/>
  <c r="B42" i="1"/>
  <c r="O42" i="1" s="1"/>
  <c r="B43" i="1"/>
  <c r="O43" i="1" s="1"/>
  <c r="B44" i="1"/>
  <c r="O44" i="1" s="1"/>
  <c r="B45" i="1"/>
  <c r="O45" i="1" s="1"/>
  <c r="B46" i="1"/>
  <c r="O46" i="1" s="1"/>
  <c r="B47" i="1"/>
  <c r="O47" i="1" s="1"/>
  <c r="B48" i="1"/>
  <c r="O48" i="1" s="1"/>
  <c r="B49" i="1"/>
  <c r="O49" i="1" s="1"/>
  <c r="B50" i="1"/>
  <c r="O50" i="1" s="1"/>
  <c r="B51" i="1"/>
  <c r="O51" i="1" s="1"/>
  <c r="B52" i="1"/>
  <c r="O52" i="1" s="1"/>
  <c r="B53" i="1"/>
  <c r="O53" i="1" s="1"/>
  <c r="B54" i="1"/>
  <c r="O54" i="1" s="1"/>
  <c r="B55" i="1"/>
  <c r="O55" i="1" s="1"/>
  <c r="B56" i="1"/>
  <c r="O56" i="1" s="1"/>
  <c r="B57" i="1"/>
  <c r="O57" i="1" s="1"/>
  <c r="B58" i="1"/>
  <c r="O58" i="1" s="1"/>
  <c r="B59" i="1"/>
  <c r="O59" i="1" s="1"/>
  <c r="B60" i="1"/>
  <c r="O60" i="1" s="1"/>
  <c r="B61" i="1"/>
  <c r="O61" i="1" s="1"/>
  <c r="B62" i="1"/>
  <c r="O62" i="1" s="1"/>
  <c r="B63" i="1"/>
  <c r="O63" i="1" s="1"/>
  <c r="B64" i="1"/>
  <c r="O64" i="1" s="1"/>
  <c r="B65" i="1"/>
  <c r="O65" i="1" s="1"/>
  <c r="B66" i="1"/>
  <c r="O66" i="1" s="1"/>
  <c r="B67" i="1"/>
  <c r="O67" i="1" s="1"/>
  <c r="B68" i="1"/>
  <c r="O68" i="1" s="1"/>
  <c r="B69" i="1"/>
  <c r="O69" i="1" s="1"/>
  <c r="B70" i="1"/>
  <c r="O70" i="1" s="1"/>
  <c r="B71" i="1"/>
  <c r="O71" i="1" s="1"/>
  <c r="B72" i="1"/>
  <c r="O72" i="1" s="1"/>
  <c r="B73" i="1"/>
  <c r="O73" i="1" s="1"/>
  <c r="B74" i="1"/>
  <c r="O74" i="1" s="1"/>
  <c r="B75" i="1"/>
  <c r="O75" i="1" s="1"/>
  <c r="B76" i="1"/>
  <c r="O76" i="1" s="1"/>
  <c r="B77" i="1"/>
  <c r="O77" i="1" s="1"/>
  <c r="B78" i="1"/>
  <c r="O78" i="1" s="1"/>
  <c r="B79" i="1"/>
  <c r="O79" i="1" s="1"/>
  <c r="B80" i="1"/>
  <c r="O80" i="1" s="1"/>
  <c r="B81" i="1"/>
  <c r="O81" i="1" s="1"/>
  <c r="B82" i="1"/>
  <c r="O82" i="1" s="1"/>
  <c r="B83" i="1"/>
  <c r="O83" i="1" s="1"/>
  <c r="B84" i="1"/>
  <c r="O84" i="1" s="1"/>
  <c r="B85" i="1"/>
  <c r="O85" i="1" s="1"/>
  <c r="B86" i="1"/>
  <c r="O86" i="1" s="1"/>
  <c r="B87" i="1"/>
  <c r="O87" i="1" s="1"/>
  <c r="B88" i="1"/>
  <c r="O88" i="1" s="1"/>
  <c r="B89" i="1"/>
  <c r="O89" i="1" s="1"/>
  <c r="B90" i="1"/>
  <c r="O90" i="1" s="1"/>
  <c r="B91" i="1"/>
  <c r="O91" i="1" s="1"/>
  <c r="B92" i="1"/>
  <c r="O92" i="1" s="1"/>
  <c r="B93" i="1"/>
  <c r="O93" i="1" s="1"/>
  <c r="B94" i="1"/>
  <c r="O94" i="1" s="1"/>
  <c r="B95" i="1"/>
  <c r="O95" i="1" s="1"/>
  <c r="B96" i="1"/>
  <c r="O96" i="1" s="1"/>
  <c r="B97" i="1"/>
  <c r="O97" i="1" s="1"/>
  <c r="B98" i="1"/>
  <c r="O98" i="1" s="1"/>
  <c r="B99" i="1"/>
  <c r="O99" i="1" s="1"/>
  <c r="B100" i="1"/>
  <c r="O100" i="1" s="1"/>
  <c r="B101" i="1"/>
  <c r="O101" i="1" s="1"/>
  <c r="B102" i="1"/>
  <c r="O102" i="1" s="1"/>
  <c r="B103" i="1"/>
  <c r="O103" i="1" s="1"/>
  <c r="B104" i="1"/>
  <c r="O104" i="1" s="1"/>
  <c r="B105" i="1"/>
  <c r="O105" i="1" s="1"/>
  <c r="B106" i="1"/>
  <c r="O106" i="1" s="1"/>
  <c r="B107" i="1"/>
  <c r="O107" i="1" s="1"/>
  <c r="B108" i="1"/>
  <c r="O108" i="1" s="1"/>
  <c r="B109" i="1"/>
  <c r="O109" i="1" s="1"/>
  <c r="B110" i="1"/>
  <c r="O110" i="1" s="1"/>
  <c r="B111" i="1"/>
  <c r="O111" i="1" s="1"/>
  <c r="B112" i="1"/>
  <c r="O112" i="1" s="1"/>
  <c r="B113" i="1"/>
  <c r="O113" i="1" s="1"/>
  <c r="B114" i="1"/>
  <c r="O114" i="1" s="1"/>
  <c r="B115" i="1"/>
  <c r="O115" i="1" s="1"/>
  <c r="B116" i="1"/>
  <c r="O116" i="1" s="1"/>
  <c r="B117" i="1"/>
  <c r="O117" i="1" s="1"/>
  <c r="B118" i="1"/>
  <c r="O118" i="1" s="1"/>
  <c r="B119" i="1"/>
  <c r="O119" i="1" s="1"/>
  <c r="B120" i="1"/>
  <c r="O120" i="1" s="1"/>
  <c r="B121" i="1"/>
  <c r="O121" i="1" s="1"/>
  <c r="B122" i="1"/>
  <c r="O122" i="1" s="1"/>
  <c r="B123" i="1"/>
  <c r="O123" i="1" s="1"/>
  <c r="B124" i="1"/>
  <c r="O124" i="1" s="1"/>
  <c r="B125" i="1"/>
  <c r="O125" i="1" s="1"/>
  <c r="B126" i="1"/>
  <c r="O126" i="1" s="1"/>
  <c r="B127" i="1"/>
  <c r="O127" i="1" s="1"/>
  <c r="B128" i="1"/>
  <c r="O128" i="1" s="1"/>
  <c r="B129" i="1"/>
  <c r="O129" i="1" s="1"/>
  <c r="B130" i="1"/>
  <c r="O130" i="1" s="1"/>
  <c r="B131" i="1"/>
  <c r="O131" i="1" s="1"/>
  <c r="B132" i="1"/>
  <c r="O132" i="1" s="1"/>
  <c r="B133" i="1"/>
  <c r="O133" i="1" s="1"/>
  <c r="B134" i="1"/>
  <c r="O134" i="1" s="1"/>
  <c r="B135" i="1"/>
  <c r="O135" i="1" s="1"/>
  <c r="B136" i="1"/>
  <c r="O136" i="1" s="1"/>
  <c r="B137" i="1"/>
  <c r="O137" i="1" s="1"/>
  <c r="B138" i="1"/>
  <c r="O138" i="1" s="1"/>
  <c r="B139" i="1"/>
  <c r="O139" i="1" s="1"/>
  <c r="B140" i="1"/>
  <c r="O140" i="1" s="1"/>
  <c r="B141" i="1"/>
  <c r="O141" i="1" s="1"/>
  <c r="B142" i="1"/>
  <c r="O142" i="1" s="1"/>
  <c r="B143" i="1"/>
  <c r="O143" i="1" s="1"/>
  <c r="B144" i="1"/>
  <c r="O144" i="1" s="1"/>
  <c r="B145" i="1"/>
  <c r="O145" i="1" s="1"/>
  <c r="B146" i="1"/>
  <c r="O146" i="1" s="1"/>
  <c r="B147" i="1"/>
  <c r="O147" i="1" s="1"/>
  <c r="B148" i="1"/>
  <c r="O148" i="1" s="1"/>
  <c r="B149" i="1"/>
  <c r="O149" i="1" s="1"/>
  <c r="B150" i="1"/>
  <c r="O150" i="1" s="1"/>
  <c r="B151" i="1"/>
  <c r="O151" i="1" s="1"/>
  <c r="B152" i="1"/>
  <c r="O152" i="1" s="1"/>
  <c r="B153" i="1"/>
  <c r="O153" i="1" s="1"/>
  <c r="B154" i="1"/>
  <c r="O154" i="1" s="1"/>
  <c r="B155" i="1"/>
  <c r="O155" i="1" s="1"/>
  <c r="B156" i="1"/>
  <c r="O156" i="1" s="1"/>
  <c r="B157" i="1"/>
  <c r="O157" i="1" s="1"/>
  <c r="B158" i="1"/>
  <c r="O158" i="1" s="1"/>
  <c r="B159" i="1"/>
  <c r="O159" i="1" s="1"/>
  <c r="B160" i="1"/>
  <c r="O160" i="1" s="1"/>
  <c r="B161" i="1"/>
  <c r="O161" i="1" s="1"/>
  <c r="B162" i="1"/>
  <c r="O162" i="1" s="1"/>
  <c r="B163" i="1"/>
  <c r="O163" i="1" s="1"/>
  <c r="B164" i="1"/>
  <c r="O164" i="1" s="1"/>
  <c r="B165" i="1"/>
  <c r="O165" i="1" s="1"/>
  <c r="B166" i="1"/>
  <c r="O166" i="1" s="1"/>
  <c r="B167" i="1"/>
  <c r="O167" i="1" s="1"/>
  <c r="B168" i="1"/>
  <c r="O168" i="1" s="1"/>
  <c r="B169" i="1"/>
  <c r="O169" i="1" s="1"/>
  <c r="B170" i="1"/>
  <c r="O170" i="1" s="1"/>
  <c r="B171" i="1"/>
  <c r="O171" i="1" s="1"/>
  <c r="B172" i="1"/>
  <c r="O172" i="1" s="1"/>
  <c r="B173" i="1"/>
  <c r="O173" i="1" s="1"/>
  <c r="B174" i="1"/>
  <c r="O174" i="1" s="1"/>
  <c r="B175" i="1"/>
  <c r="O175" i="1" s="1"/>
  <c r="B176" i="1"/>
  <c r="O176" i="1" s="1"/>
  <c r="B177" i="1"/>
  <c r="O177" i="1" s="1"/>
  <c r="B178" i="1"/>
  <c r="O178" i="1" s="1"/>
  <c r="B179" i="1"/>
  <c r="O179" i="1" s="1"/>
  <c r="B180" i="1"/>
  <c r="O180" i="1" s="1"/>
  <c r="B181" i="1"/>
  <c r="O181" i="1" s="1"/>
  <c r="B182" i="1"/>
  <c r="O182" i="1" s="1"/>
  <c r="B183" i="1"/>
  <c r="O183" i="1" s="1"/>
  <c r="B184" i="1"/>
  <c r="O184" i="1" s="1"/>
  <c r="B185" i="1"/>
  <c r="O185" i="1" s="1"/>
  <c r="B186" i="1"/>
  <c r="O186" i="1" s="1"/>
  <c r="B187" i="1"/>
  <c r="O187" i="1" s="1"/>
  <c r="B188" i="1"/>
  <c r="O188" i="1" s="1"/>
  <c r="B189" i="1"/>
  <c r="O189" i="1" s="1"/>
  <c r="B190" i="1"/>
  <c r="O190" i="1" s="1"/>
  <c r="B191" i="1"/>
  <c r="O191" i="1" s="1"/>
  <c r="B192" i="1"/>
  <c r="O192" i="1" s="1"/>
  <c r="B193" i="1"/>
  <c r="O193" i="1" s="1"/>
  <c r="B194" i="1"/>
  <c r="O194" i="1" s="1"/>
  <c r="B195" i="1"/>
  <c r="O195" i="1" s="1"/>
  <c r="B196" i="1"/>
  <c r="O196" i="1" s="1"/>
  <c r="B197" i="1"/>
  <c r="O197" i="1" s="1"/>
  <c r="B198" i="1"/>
  <c r="O198" i="1" s="1"/>
  <c r="B199" i="1"/>
  <c r="O199" i="1" s="1"/>
  <c r="B200" i="1"/>
  <c r="O200" i="1" s="1"/>
  <c r="B201" i="1"/>
  <c r="O201" i="1" s="1"/>
  <c r="B202" i="1"/>
  <c r="O202" i="1" s="1"/>
  <c r="B203" i="1"/>
  <c r="O203" i="1" s="1"/>
  <c r="B204" i="1"/>
  <c r="O204" i="1" s="1"/>
  <c r="B205" i="1"/>
  <c r="O205" i="1" s="1"/>
  <c r="B206" i="1"/>
  <c r="O206" i="1" s="1"/>
  <c r="B207" i="1"/>
  <c r="O207" i="1" s="1"/>
  <c r="B208" i="1"/>
  <c r="O208" i="1" s="1"/>
  <c r="B209" i="1"/>
  <c r="O209" i="1" s="1"/>
  <c r="B210" i="1"/>
  <c r="O210" i="1" s="1"/>
  <c r="B211" i="1"/>
  <c r="O211" i="1" s="1"/>
  <c r="B212" i="1"/>
  <c r="O212" i="1" s="1"/>
  <c r="B213" i="1"/>
  <c r="O213" i="1" s="1"/>
  <c r="B214" i="1"/>
  <c r="O214" i="1" s="1"/>
  <c r="B215" i="1"/>
  <c r="O215" i="1" s="1"/>
  <c r="B216" i="1"/>
  <c r="O216" i="1" s="1"/>
  <c r="B217" i="1"/>
  <c r="O217" i="1" s="1"/>
  <c r="B218" i="1"/>
  <c r="O218" i="1" s="1"/>
  <c r="B219" i="1"/>
  <c r="O219" i="1" s="1"/>
  <c r="B220" i="1"/>
  <c r="O220" i="1" s="1"/>
  <c r="B221" i="1"/>
  <c r="O221" i="1" s="1"/>
  <c r="B222" i="1"/>
  <c r="O222" i="1" s="1"/>
  <c r="B223" i="1"/>
  <c r="O223" i="1" s="1"/>
  <c r="B224" i="1"/>
  <c r="O224" i="1" s="1"/>
  <c r="B225" i="1"/>
  <c r="O225" i="1" s="1"/>
  <c r="B226" i="1"/>
  <c r="O226" i="1" s="1"/>
  <c r="B227" i="1"/>
  <c r="O227" i="1" s="1"/>
  <c r="B228" i="1"/>
  <c r="O228" i="1" s="1"/>
  <c r="B229" i="1"/>
  <c r="O229" i="1" s="1"/>
  <c r="B230" i="1"/>
  <c r="O230" i="1" s="1"/>
  <c r="B231" i="1"/>
  <c r="O231" i="1" s="1"/>
  <c r="B232" i="1"/>
  <c r="O232" i="1" s="1"/>
  <c r="B233" i="1"/>
  <c r="O233" i="1" s="1"/>
  <c r="B234" i="1"/>
  <c r="O234" i="1" s="1"/>
  <c r="B235" i="1"/>
  <c r="O235" i="1" s="1"/>
  <c r="B236" i="1"/>
  <c r="O236" i="1" s="1"/>
  <c r="B237" i="1"/>
  <c r="O237" i="1" s="1"/>
  <c r="B238" i="1"/>
  <c r="O238" i="1" s="1"/>
  <c r="B239" i="1"/>
  <c r="O239" i="1" s="1"/>
  <c r="B240" i="1"/>
  <c r="O240" i="1" s="1"/>
  <c r="B241" i="1"/>
  <c r="O241" i="1" s="1"/>
  <c r="B242" i="1"/>
  <c r="O242" i="1" s="1"/>
  <c r="B243" i="1"/>
  <c r="O243" i="1" s="1"/>
  <c r="B244" i="1"/>
  <c r="O244" i="1" s="1"/>
  <c r="B245" i="1"/>
  <c r="O245" i="1" s="1"/>
  <c r="B246" i="1"/>
  <c r="O246" i="1" s="1"/>
  <c r="B247" i="1"/>
  <c r="O247" i="1" s="1"/>
  <c r="B248" i="1"/>
  <c r="O248" i="1" s="1"/>
  <c r="B249" i="1"/>
  <c r="O249" i="1" s="1"/>
  <c r="B250" i="1"/>
  <c r="O250" i="1" s="1"/>
  <c r="B251" i="1"/>
  <c r="O251" i="1" s="1"/>
  <c r="B252" i="1"/>
  <c r="O252" i="1" s="1"/>
  <c r="B253" i="1"/>
  <c r="O253" i="1" s="1"/>
  <c r="B254" i="1"/>
  <c r="O254" i="1" s="1"/>
  <c r="B255" i="1"/>
  <c r="O255" i="1" s="1"/>
  <c r="B256" i="1"/>
  <c r="O256" i="1" s="1"/>
  <c r="B257" i="1"/>
  <c r="O257" i="1" s="1"/>
  <c r="B258" i="1"/>
  <c r="O258" i="1" s="1"/>
  <c r="B259" i="1"/>
  <c r="O259" i="1" s="1"/>
  <c r="B260" i="1"/>
  <c r="O260" i="1" s="1"/>
  <c r="B261" i="1"/>
  <c r="O261" i="1" s="1"/>
  <c r="B262" i="1"/>
  <c r="O262" i="1" s="1"/>
  <c r="B263" i="1"/>
  <c r="O263" i="1" s="1"/>
  <c r="B264" i="1"/>
  <c r="O264" i="1" s="1"/>
  <c r="B265" i="1"/>
  <c r="O265" i="1" s="1"/>
  <c r="B266" i="1"/>
  <c r="O266" i="1" s="1"/>
  <c r="B267" i="1"/>
  <c r="O267" i="1" s="1"/>
  <c r="B268" i="1"/>
  <c r="O268" i="1" s="1"/>
  <c r="B269" i="1"/>
  <c r="O269" i="1" s="1"/>
  <c r="B270" i="1"/>
  <c r="O270" i="1" s="1"/>
  <c r="B271" i="1"/>
  <c r="O271" i="1" s="1"/>
  <c r="B272" i="1"/>
  <c r="O272" i="1" s="1"/>
  <c r="B273" i="1"/>
  <c r="O273" i="1" s="1"/>
  <c r="B274" i="1"/>
  <c r="O274" i="1" s="1"/>
  <c r="B275" i="1"/>
  <c r="O275" i="1" s="1"/>
  <c r="B276" i="1"/>
  <c r="O276" i="1" s="1"/>
  <c r="B277" i="1"/>
  <c r="O277" i="1" s="1"/>
  <c r="B278" i="1"/>
  <c r="O278" i="1" s="1"/>
  <c r="B279" i="1"/>
  <c r="O279" i="1" s="1"/>
  <c r="B280" i="1"/>
  <c r="O280" i="1" s="1"/>
  <c r="B281" i="1"/>
  <c r="O281" i="1" s="1"/>
  <c r="B282" i="1"/>
  <c r="O282" i="1" s="1"/>
  <c r="B283" i="1"/>
  <c r="O283" i="1" s="1"/>
  <c r="B284" i="1"/>
  <c r="O284" i="1" s="1"/>
  <c r="B285" i="1"/>
  <c r="O285" i="1" s="1"/>
  <c r="B286" i="1"/>
  <c r="O286" i="1" s="1"/>
  <c r="B287" i="1"/>
  <c r="O287" i="1" s="1"/>
  <c r="B288" i="1"/>
  <c r="O288" i="1" s="1"/>
  <c r="B289" i="1"/>
  <c r="O289" i="1" s="1"/>
  <c r="B290" i="1"/>
  <c r="O290" i="1" s="1"/>
  <c r="B291" i="1"/>
  <c r="O291" i="1" s="1"/>
  <c r="B292" i="1"/>
  <c r="O292" i="1" s="1"/>
  <c r="B293" i="1"/>
  <c r="O293" i="1" s="1"/>
  <c r="B294" i="1"/>
  <c r="O294" i="1" s="1"/>
  <c r="B295" i="1"/>
  <c r="O295" i="1" s="1"/>
  <c r="B296" i="1"/>
  <c r="O296" i="1" s="1"/>
  <c r="B297" i="1"/>
  <c r="O297" i="1" s="1"/>
  <c r="B298" i="1"/>
  <c r="O298" i="1" s="1"/>
  <c r="B299" i="1"/>
  <c r="O299" i="1" s="1"/>
  <c r="B300" i="1"/>
  <c r="O300" i="1" s="1"/>
  <c r="B301" i="1"/>
  <c r="O301" i="1" s="1"/>
  <c r="B302" i="1"/>
  <c r="O302" i="1" s="1"/>
  <c r="B303" i="1"/>
  <c r="O303" i="1" s="1"/>
  <c r="B304" i="1"/>
  <c r="O304" i="1" s="1"/>
  <c r="B305" i="1"/>
  <c r="O305" i="1" s="1"/>
  <c r="B306" i="1"/>
  <c r="O306" i="1" s="1"/>
  <c r="B307" i="1"/>
  <c r="O307" i="1" s="1"/>
  <c r="B308" i="1"/>
  <c r="O308" i="1" s="1"/>
  <c r="B309" i="1"/>
  <c r="O309" i="1" s="1"/>
  <c r="B310" i="1"/>
  <c r="O310" i="1" s="1"/>
  <c r="B311" i="1"/>
  <c r="O311" i="1" s="1"/>
  <c r="B312" i="1"/>
  <c r="O312" i="1" s="1"/>
  <c r="B313" i="1"/>
  <c r="O313" i="1" s="1"/>
  <c r="B314" i="1"/>
  <c r="O314" i="1" s="1"/>
  <c r="B315" i="1"/>
  <c r="O315" i="1" s="1"/>
  <c r="B316" i="1"/>
  <c r="O316" i="1" s="1"/>
  <c r="B317" i="1"/>
  <c r="O317" i="1" s="1"/>
  <c r="B318" i="1"/>
  <c r="O318" i="1" s="1"/>
  <c r="B319" i="1"/>
  <c r="O319" i="1" s="1"/>
  <c r="B320" i="1"/>
  <c r="O320" i="1" s="1"/>
  <c r="B321" i="1"/>
  <c r="O321" i="1" s="1"/>
  <c r="B322" i="1"/>
  <c r="O322" i="1" s="1"/>
  <c r="B323" i="1"/>
  <c r="O323" i="1" s="1"/>
  <c r="B324" i="1"/>
  <c r="O324" i="1" s="1"/>
  <c r="B325" i="1"/>
  <c r="O325" i="1" s="1"/>
  <c r="B326" i="1"/>
  <c r="O326" i="1" s="1"/>
  <c r="B327" i="1"/>
  <c r="O327" i="1" s="1"/>
  <c r="B328" i="1"/>
  <c r="O328" i="1" s="1"/>
  <c r="B329" i="1"/>
  <c r="O329" i="1" s="1"/>
  <c r="B330" i="1"/>
  <c r="O330" i="1" s="1"/>
  <c r="B331" i="1"/>
  <c r="O331" i="1" s="1"/>
  <c r="B332" i="1"/>
  <c r="O332" i="1" s="1"/>
  <c r="B333" i="1"/>
  <c r="O333" i="1" s="1"/>
  <c r="B334" i="1"/>
  <c r="O334" i="1" s="1"/>
  <c r="B335" i="1"/>
  <c r="O335" i="1" s="1"/>
  <c r="B336" i="1"/>
  <c r="O336" i="1" s="1"/>
  <c r="B337" i="1"/>
  <c r="O337" i="1" s="1"/>
  <c r="B338" i="1"/>
  <c r="O338" i="1" s="1"/>
  <c r="B339" i="1"/>
  <c r="O339" i="1" s="1"/>
  <c r="B340" i="1"/>
  <c r="O340" i="1" s="1"/>
  <c r="B341" i="1"/>
  <c r="O341" i="1" s="1"/>
  <c r="B342" i="1"/>
  <c r="O342" i="1" s="1"/>
  <c r="B343" i="1"/>
  <c r="O343" i="1" s="1"/>
  <c r="B344" i="1"/>
  <c r="O344" i="1" s="1"/>
  <c r="B345" i="1"/>
  <c r="O345" i="1" s="1"/>
  <c r="B346" i="1"/>
  <c r="O346" i="1" s="1"/>
  <c r="B347" i="1"/>
  <c r="O347" i="1" s="1"/>
  <c r="B348" i="1"/>
  <c r="O348" i="1" s="1"/>
  <c r="B349" i="1"/>
  <c r="O349" i="1" s="1"/>
  <c r="B350" i="1"/>
  <c r="O350" i="1" s="1"/>
  <c r="B351" i="1"/>
  <c r="O351" i="1" s="1"/>
  <c r="B352" i="1"/>
  <c r="O352" i="1" s="1"/>
  <c r="B353" i="1"/>
  <c r="O353" i="1" s="1"/>
  <c r="B354" i="1"/>
  <c r="O354" i="1" s="1"/>
  <c r="B355" i="1"/>
  <c r="O355" i="1" s="1"/>
  <c r="B356" i="1"/>
  <c r="O356" i="1" s="1"/>
  <c r="B357" i="1"/>
  <c r="O357" i="1" s="1"/>
  <c r="B358" i="1"/>
  <c r="O358" i="1" s="1"/>
  <c r="B359" i="1"/>
  <c r="O359" i="1" s="1"/>
  <c r="B360" i="1"/>
  <c r="O360" i="1" s="1"/>
  <c r="B361" i="1"/>
  <c r="O361" i="1" s="1"/>
  <c r="B362" i="1"/>
  <c r="O362" i="1" s="1"/>
  <c r="B363" i="1"/>
  <c r="O363" i="1" s="1"/>
  <c r="B364" i="1"/>
  <c r="O364" i="1" s="1"/>
  <c r="B365" i="1"/>
  <c r="O365" i="1" s="1"/>
  <c r="B366" i="1"/>
  <c r="O366" i="1" s="1"/>
  <c r="B367" i="1"/>
  <c r="O367" i="1" s="1"/>
  <c r="B368" i="1"/>
  <c r="O368" i="1" s="1"/>
  <c r="B369" i="1"/>
  <c r="O369" i="1" s="1"/>
  <c r="B370" i="1"/>
  <c r="O370" i="1" s="1"/>
  <c r="B371" i="1"/>
  <c r="O371" i="1" s="1"/>
  <c r="B372" i="1"/>
  <c r="O372" i="1" s="1"/>
  <c r="B373" i="1"/>
  <c r="O373" i="1" s="1"/>
  <c r="B374" i="1"/>
  <c r="O374" i="1" s="1"/>
  <c r="B375" i="1"/>
  <c r="O375" i="1" s="1"/>
  <c r="B376" i="1"/>
  <c r="O376" i="1" s="1"/>
  <c r="B377" i="1"/>
  <c r="O377" i="1" s="1"/>
  <c r="B378" i="1"/>
  <c r="O378" i="1" s="1"/>
  <c r="B379" i="1"/>
  <c r="O379" i="1" s="1"/>
  <c r="B380" i="1"/>
  <c r="O380" i="1" s="1"/>
  <c r="B381" i="1"/>
  <c r="O381" i="1" s="1"/>
  <c r="B382" i="1"/>
  <c r="O382" i="1" s="1"/>
  <c r="B383" i="1"/>
  <c r="O383" i="1" s="1"/>
  <c r="B384" i="1"/>
  <c r="O384" i="1" s="1"/>
  <c r="B385" i="1"/>
  <c r="O385" i="1" s="1"/>
  <c r="B386" i="1"/>
  <c r="O386" i="1" s="1"/>
  <c r="B387" i="1"/>
  <c r="O387" i="1" s="1"/>
  <c r="B388" i="1"/>
  <c r="O388" i="1" s="1"/>
  <c r="B389" i="1"/>
  <c r="O389" i="1" s="1"/>
  <c r="B390" i="1"/>
  <c r="O390" i="1" s="1"/>
  <c r="B391" i="1"/>
  <c r="O391" i="1" s="1"/>
  <c r="B392" i="1"/>
  <c r="O392" i="1" s="1"/>
  <c r="B393" i="1"/>
  <c r="O393" i="1" s="1"/>
  <c r="B394" i="1"/>
  <c r="O394" i="1" s="1"/>
  <c r="B395" i="1"/>
  <c r="O395" i="1" s="1"/>
  <c r="B396" i="1"/>
  <c r="O396" i="1" s="1"/>
  <c r="B397" i="1"/>
  <c r="O397" i="1" s="1"/>
  <c r="B398" i="1"/>
  <c r="O398" i="1" s="1"/>
  <c r="B399" i="1"/>
  <c r="O399" i="1" s="1"/>
  <c r="B400" i="1"/>
  <c r="O400" i="1" s="1"/>
  <c r="B401" i="1"/>
  <c r="O401" i="1" s="1"/>
  <c r="E2" i="1"/>
  <c r="F2" i="1" s="1"/>
  <c r="G2" i="1" s="1"/>
  <c r="E3" i="1"/>
  <c r="F3" i="1" s="1"/>
  <c r="G3" i="1" s="1"/>
  <c r="E4" i="1"/>
  <c r="F4" i="1" s="1"/>
  <c r="G4" i="1" s="1"/>
  <c r="E5" i="1"/>
  <c r="F5" i="1" s="1"/>
  <c r="G5" i="1" s="1"/>
  <c r="E6" i="1"/>
  <c r="F6" i="1" s="1"/>
  <c r="G6" i="1" s="1"/>
  <c r="E7" i="1"/>
  <c r="F7" i="1" s="1"/>
  <c r="G7" i="1" s="1"/>
  <c r="E8" i="1"/>
  <c r="F8" i="1" s="1"/>
  <c r="G8" i="1" s="1"/>
  <c r="E9" i="1"/>
  <c r="F9" i="1" s="1"/>
  <c r="G9" i="1" s="1"/>
  <c r="E10" i="1"/>
  <c r="F10" i="1" s="1"/>
  <c r="G10" i="1" s="1"/>
  <c r="E11" i="1"/>
  <c r="F11" i="1" s="1"/>
  <c r="G11" i="1" s="1"/>
  <c r="E12" i="1"/>
  <c r="F12" i="1" s="1"/>
  <c r="G12" i="1" s="1"/>
  <c r="E13" i="1"/>
  <c r="F13" i="1" s="1"/>
  <c r="G13" i="1" s="1"/>
  <c r="E14" i="1"/>
  <c r="F14" i="1" s="1"/>
  <c r="G14" i="1" s="1"/>
  <c r="E15" i="1"/>
  <c r="F15" i="1" s="1"/>
  <c r="G15" i="1" s="1"/>
  <c r="E16" i="1"/>
  <c r="F16" i="1" s="1"/>
  <c r="G16" i="1" s="1"/>
  <c r="E17" i="1"/>
  <c r="F17" i="1" s="1"/>
  <c r="G17" i="1" s="1"/>
  <c r="E18" i="1"/>
  <c r="F18" i="1" s="1"/>
  <c r="G18" i="1" s="1"/>
  <c r="E19" i="1"/>
  <c r="F19" i="1" s="1"/>
  <c r="G19" i="1" s="1"/>
  <c r="E20" i="1"/>
  <c r="F20" i="1" s="1"/>
  <c r="G20" i="1" s="1"/>
  <c r="E21" i="1"/>
  <c r="F21" i="1" s="1"/>
  <c r="G21" i="1" s="1"/>
  <c r="E22" i="1"/>
  <c r="F22" i="1" s="1"/>
  <c r="G22" i="1" s="1"/>
  <c r="E23" i="1"/>
  <c r="F23" i="1" s="1"/>
  <c r="G23" i="1" s="1"/>
  <c r="E24" i="1"/>
  <c r="F24" i="1" s="1"/>
  <c r="G24" i="1" s="1"/>
  <c r="E25" i="1"/>
  <c r="F25" i="1" s="1"/>
  <c r="G25" i="1" s="1"/>
  <c r="E26" i="1"/>
  <c r="F26" i="1" s="1"/>
  <c r="G26" i="1" s="1"/>
  <c r="E27" i="1"/>
  <c r="F27" i="1" s="1"/>
  <c r="G27" i="1" s="1"/>
  <c r="E28" i="1"/>
  <c r="F28" i="1" s="1"/>
  <c r="G28" i="1" s="1"/>
  <c r="E29" i="1"/>
  <c r="F29" i="1" s="1"/>
  <c r="G29" i="1" s="1"/>
  <c r="E30" i="1"/>
  <c r="F30" i="1" s="1"/>
  <c r="G30" i="1" s="1"/>
  <c r="E31" i="1"/>
  <c r="F31" i="1" s="1"/>
  <c r="G31" i="1" s="1"/>
  <c r="E32" i="1"/>
  <c r="F32" i="1" s="1"/>
  <c r="G32" i="1" s="1"/>
  <c r="E33" i="1"/>
  <c r="F33" i="1" s="1"/>
  <c r="G33" i="1" s="1"/>
  <c r="E34" i="1"/>
  <c r="F34" i="1" s="1"/>
  <c r="G34" i="1" s="1"/>
  <c r="E35" i="1"/>
  <c r="F35" i="1" s="1"/>
  <c r="G35" i="1" s="1"/>
  <c r="E36" i="1"/>
  <c r="F36" i="1" s="1"/>
  <c r="G36" i="1" s="1"/>
  <c r="E37" i="1"/>
  <c r="F37" i="1" s="1"/>
  <c r="G37" i="1" s="1"/>
  <c r="E38" i="1"/>
  <c r="F38" i="1" s="1"/>
  <c r="G38" i="1" s="1"/>
  <c r="E39" i="1"/>
  <c r="F39" i="1" s="1"/>
  <c r="G39" i="1" s="1"/>
  <c r="E40" i="1"/>
  <c r="F40" i="1" s="1"/>
  <c r="G40" i="1" s="1"/>
  <c r="E41" i="1"/>
  <c r="F41" i="1" s="1"/>
  <c r="G41" i="1" s="1"/>
  <c r="E42" i="1"/>
  <c r="F42" i="1" s="1"/>
  <c r="G42" i="1" s="1"/>
  <c r="E43" i="1"/>
  <c r="F43" i="1" s="1"/>
  <c r="G43" i="1" s="1"/>
  <c r="E44" i="1"/>
  <c r="F44" i="1" s="1"/>
  <c r="G44" i="1" s="1"/>
  <c r="E45" i="1"/>
  <c r="F45" i="1" s="1"/>
  <c r="G45" i="1" s="1"/>
  <c r="E46" i="1"/>
  <c r="F46" i="1" s="1"/>
  <c r="G46" i="1" s="1"/>
  <c r="E47" i="1"/>
  <c r="F47" i="1" s="1"/>
  <c r="G47" i="1" s="1"/>
  <c r="E48" i="1"/>
  <c r="F48" i="1" s="1"/>
  <c r="G48" i="1" s="1"/>
  <c r="E49" i="1"/>
  <c r="F49" i="1" s="1"/>
  <c r="G49" i="1" s="1"/>
  <c r="E50" i="1"/>
  <c r="F50" i="1" s="1"/>
  <c r="G50" i="1" s="1"/>
  <c r="E51" i="1"/>
  <c r="F51" i="1" s="1"/>
  <c r="G51" i="1" s="1"/>
  <c r="E52" i="1"/>
  <c r="F52" i="1" s="1"/>
  <c r="G52" i="1" s="1"/>
  <c r="E53" i="1"/>
  <c r="F53" i="1" s="1"/>
  <c r="G53" i="1" s="1"/>
  <c r="E54" i="1"/>
  <c r="F54" i="1" s="1"/>
  <c r="G54" i="1" s="1"/>
  <c r="E55" i="1"/>
  <c r="F55" i="1" s="1"/>
  <c r="G55" i="1" s="1"/>
  <c r="E56" i="1"/>
  <c r="F56" i="1" s="1"/>
  <c r="G56" i="1" s="1"/>
  <c r="E57" i="1"/>
  <c r="F57" i="1" s="1"/>
  <c r="G57" i="1" s="1"/>
  <c r="E58" i="1"/>
  <c r="F58" i="1" s="1"/>
  <c r="G58" i="1" s="1"/>
  <c r="E59" i="1"/>
  <c r="F59" i="1" s="1"/>
  <c r="G59" i="1" s="1"/>
  <c r="E60" i="1"/>
  <c r="F60" i="1" s="1"/>
  <c r="G60" i="1" s="1"/>
  <c r="E61" i="1"/>
  <c r="F61" i="1" s="1"/>
  <c r="G61" i="1" s="1"/>
  <c r="E62" i="1"/>
  <c r="F62" i="1" s="1"/>
  <c r="G62" i="1" s="1"/>
  <c r="E63" i="1"/>
  <c r="F63" i="1" s="1"/>
  <c r="G63" i="1" s="1"/>
  <c r="E64" i="1"/>
  <c r="F64" i="1" s="1"/>
  <c r="G64" i="1" s="1"/>
  <c r="E65" i="1"/>
  <c r="F65" i="1" s="1"/>
  <c r="G65" i="1" s="1"/>
  <c r="E66" i="1"/>
  <c r="F66" i="1" s="1"/>
  <c r="G66" i="1" s="1"/>
  <c r="E67" i="1"/>
  <c r="F67" i="1" s="1"/>
  <c r="G67" i="1" s="1"/>
  <c r="E68" i="1"/>
  <c r="F68" i="1" s="1"/>
  <c r="G68" i="1" s="1"/>
  <c r="E69" i="1"/>
  <c r="F69" i="1" s="1"/>
  <c r="G69" i="1" s="1"/>
  <c r="E70" i="1"/>
  <c r="F70" i="1" s="1"/>
  <c r="G70" i="1" s="1"/>
  <c r="E71" i="1"/>
  <c r="F71" i="1" s="1"/>
  <c r="G71" i="1" s="1"/>
  <c r="E72" i="1"/>
  <c r="F72" i="1" s="1"/>
  <c r="G72" i="1" s="1"/>
  <c r="E73" i="1"/>
  <c r="F73" i="1" s="1"/>
  <c r="G73" i="1" s="1"/>
  <c r="E74" i="1"/>
  <c r="F74" i="1" s="1"/>
  <c r="G74" i="1" s="1"/>
  <c r="E75" i="1"/>
  <c r="F75" i="1" s="1"/>
  <c r="G75" i="1" s="1"/>
  <c r="E76" i="1"/>
  <c r="F76" i="1" s="1"/>
  <c r="G76" i="1" s="1"/>
  <c r="E77" i="1"/>
  <c r="F77" i="1" s="1"/>
  <c r="G77" i="1" s="1"/>
  <c r="E78" i="1"/>
  <c r="F78" i="1" s="1"/>
  <c r="G78" i="1" s="1"/>
  <c r="E79" i="1"/>
  <c r="F79" i="1" s="1"/>
  <c r="G79" i="1" s="1"/>
  <c r="E80" i="1"/>
  <c r="F80" i="1" s="1"/>
  <c r="G80" i="1" s="1"/>
  <c r="E81" i="1"/>
  <c r="F81" i="1" s="1"/>
  <c r="G81" i="1" s="1"/>
  <c r="E82" i="1"/>
  <c r="F82" i="1" s="1"/>
  <c r="G82" i="1" s="1"/>
  <c r="E83" i="1"/>
  <c r="F83" i="1" s="1"/>
  <c r="G83" i="1" s="1"/>
  <c r="E84" i="1"/>
  <c r="F84" i="1" s="1"/>
  <c r="G84" i="1" s="1"/>
  <c r="E85" i="1"/>
  <c r="F85" i="1" s="1"/>
  <c r="G85" i="1" s="1"/>
  <c r="E86" i="1"/>
  <c r="F86" i="1" s="1"/>
  <c r="G86" i="1" s="1"/>
  <c r="E87" i="1"/>
  <c r="F87" i="1" s="1"/>
  <c r="G87" i="1" s="1"/>
  <c r="E88" i="1"/>
  <c r="F88" i="1" s="1"/>
  <c r="G88" i="1" s="1"/>
  <c r="E89" i="1"/>
  <c r="F89" i="1" s="1"/>
  <c r="G89" i="1" s="1"/>
  <c r="E90" i="1"/>
  <c r="F90" i="1" s="1"/>
  <c r="G90" i="1" s="1"/>
  <c r="E91" i="1"/>
  <c r="F91" i="1" s="1"/>
  <c r="G91" i="1" s="1"/>
  <c r="E92" i="1"/>
  <c r="F92" i="1" s="1"/>
  <c r="G92" i="1" s="1"/>
  <c r="E93" i="1"/>
  <c r="F93" i="1" s="1"/>
  <c r="G93" i="1" s="1"/>
  <c r="E94" i="1"/>
  <c r="F94" i="1" s="1"/>
  <c r="G94" i="1" s="1"/>
  <c r="E95" i="1"/>
  <c r="F95" i="1" s="1"/>
  <c r="G95" i="1" s="1"/>
  <c r="E96" i="1"/>
  <c r="F96" i="1" s="1"/>
  <c r="G96" i="1" s="1"/>
  <c r="E97" i="1"/>
  <c r="F97" i="1" s="1"/>
  <c r="G97" i="1" s="1"/>
  <c r="E98" i="1"/>
  <c r="F98" i="1" s="1"/>
  <c r="G98" i="1" s="1"/>
  <c r="E99" i="1"/>
  <c r="F99" i="1" s="1"/>
  <c r="G99" i="1" s="1"/>
  <c r="E100" i="1"/>
  <c r="F100" i="1" s="1"/>
  <c r="G100" i="1" s="1"/>
  <c r="E101" i="1"/>
  <c r="F101" i="1" s="1"/>
  <c r="G101" i="1" s="1"/>
  <c r="E102" i="1"/>
  <c r="F102" i="1" s="1"/>
  <c r="G102" i="1" s="1"/>
  <c r="E103" i="1"/>
  <c r="F103" i="1" s="1"/>
  <c r="G103" i="1" s="1"/>
  <c r="E104" i="1"/>
  <c r="F104" i="1" s="1"/>
  <c r="G104" i="1" s="1"/>
  <c r="E105" i="1"/>
  <c r="F105" i="1" s="1"/>
  <c r="G105" i="1" s="1"/>
  <c r="E106" i="1"/>
  <c r="F106" i="1" s="1"/>
  <c r="G106" i="1" s="1"/>
  <c r="E107" i="1"/>
  <c r="F107" i="1" s="1"/>
  <c r="G107" i="1" s="1"/>
  <c r="E108" i="1"/>
  <c r="F108" i="1" s="1"/>
  <c r="G108" i="1" s="1"/>
  <c r="E109" i="1"/>
  <c r="F109" i="1" s="1"/>
  <c r="G109" i="1" s="1"/>
  <c r="E110" i="1"/>
  <c r="F110" i="1" s="1"/>
  <c r="G110" i="1" s="1"/>
  <c r="E111" i="1"/>
  <c r="F111" i="1" s="1"/>
  <c r="G111" i="1" s="1"/>
  <c r="E112" i="1"/>
  <c r="F112" i="1" s="1"/>
  <c r="G112" i="1" s="1"/>
  <c r="E113" i="1"/>
  <c r="F113" i="1" s="1"/>
  <c r="G113" i="1" s="1"/>
  <c r="E114" i="1"/>
  <c r="F114" i="1" s="1"/>
  <c r="G114" i="1" s="1"/>
  <c r="E115" i="1"/>
  <c r="F115" i="1" s="1"/>
  <c r="G115" i="1" s="1"/>
  <c r="E116" i="1"/>
  <c r="F116" i="1" s="1"/>
  <c r="G116" i="1" s="1"/>
  <c r="E117" i="1"/>
  <c r="F117" i="1" s="1"/>
  <c r="G117" i="1" s="1"/>
  <c r="E118" i="1"/>
  <c r="F118" i="1" s="1"/>
  <c r="G118" i="1" s="1"/>
  <c r="E119" i="1"/>
  <c r="F119" i="1" s="1"/>
  <c r="G119" i="1" s="1"/>
  <c r="E120" i="1"/>
  <c r="F120" i="1" s="1"/>
  <c r="G120" i="1" s="1"/>
  <c r="E121" i="1"/>
  <c r="F121" i="1" s="1"/>
  <c r="G121" i="1" s="1"/>
  <c r="E122" i="1"/>
  <c r="F122" i="1" s="1"/>
  <c r="G122" i="1" s="1"/>
  <c r="E123" i="1"/>
  <c r="F123" i="1" s="1"/>
  <c r="G123" i="1" s="1"/>
  <c r="E124" i="1"/>
  <c r="F124" i="1" s="1"/>
  <c r="G124" i="1" s="1"/>
  <c r="E125" i="1"/>
  <c r="F125" i="1" s="1"/>
  <c r="G125" i="1" s="1"/>
  <c r="E126" i="1"/>
  <c r="F126" i="1" s="1"/>
  <c r="G126" i="1" s="1"/>
  <c r="E127" i="1"/>
  <c r="F127" i="1" s="1"/>
  <c r="G127" i="1" s="1"/>
  <c r="E128" i="1"/>
  <c r="F128" i="1" s="1"/>
  <c r="G128" i="1" s="1"/>
  <c r="E129" i="1"/>
  <c r="F129" i="1" s="1"/>
  <c r="G129" i="1" s="1"/>
  <c r="E130" i="1"/>
  <c r="F130" i="1" s="1"/>
  <c r="G130" i="1" s="1"/>
  <c r="E131" i="1"/>
  <c r="F131" i="1" s="1"/>
  <c r="G131" i="1" s="1"/>
  <c r="E132" i="1"/>
  <c r="F132" i="1" s="1"/>
  <c r="G132" i="1" s="1"/>
  <c r="E133" i="1"/>
  <c r="F133" i="1" s="1"/>
  <c r="G133" i="1" s="1"/>
  <c r="E134" i="1"/>
  <c r="F134" i="1" s="1"/>
  <c r="G134" i="1" s="1"/>
  <c r="E135" i="1"/>
  <c r="F135" i="1" s="1"/>
  <c r="G135" i="1" s="1"/>
  <c r="E136" i="1"/>
  <c r="F136" i="1" s="1"/>
  <c r="G136" i="1" s="1"/>
  <c r="E137" i="1"/>
  <c r="F137" i="1" s="1"/>
  <c r="G137" i="1" s="1"/>
  <c r="E138" i="1"/>
  <c r="F138" i="1" s="1"/>
  <c r="G138" i="1" s="1"/>
  <c r="E139" i="1"/>
  <c r="F139" i="1" s="1"/>
  <c r="G139" i="1" s="1"/>
  <c r="E140" i="1"/>
  <c r="F140" i="1" s="1"/>
  <c r="G140" i="1" s="1"/>
  <c r="E141" i="1"/>
  <c r="F141" i="1" s="1"/>
  <c r="G141" i="1" s="1"/>
  <c r="E142" i="1"/>
  <c r="F142" i="1" s="1"/>
  <c r="G142" i="1" s="1"/>
  <c r="E143" i="1"/>
  <c r="F143" i="1" s="1"/>
  <c r="G143" i="1" s="1"/>
  <c r="E144" i="1"/>
  <c r="F144" i="1" s="1"/>
  <c r="G144" i="1" s="1"/>
  <c r="E145" i="1"/>
  <c r="F145" i="1" s="1"/>
  <c r="G145" i="1" s="1"/>
  <c r="E146" i="1"/>
  <c r="F146" i="1" s="1"/>
  <c r="G146" i="1" s="1"/>
  <c r="E147" i="1"/>
  <c r="F147" i="1" s="1"/>
  <c r="G147" i="1" s="1"/>
  <c r="E148" i="1"/>
  <c r="F148" i="1" s="1"/>
  <c r="G148" i="1" s="1"/>
  <c r="E149" i="1"/>
  <c r="F149" i="1" s="1"/>
  <c r="G149" i="1" s="1"/>
  <c r="E150" i="1"/>
  <c r="F150" i="1" s="1"/>
  <c r="G150" i="1" s="1"/>
  <c r="E151" i="1"/>
  <c r="F151" i="1" s="1"/>
  <c r="G151" i="1" s="1"/>
  <c r="E152" i="1"/>
  <c r="F152" i="1" s="1"/>
  <c r="G152" i="1" s="1"/>
  <c r="E153" i="1"/>
  <c r="F153" i="1" s="1"/>
  <c r="G153" i="1" s="1"/>
  <c r="E154" i="1"/>
  <c r="F154" i="1" s="1"/>
  <c r="G154" i="1" s="1"/>
  <c r="E155" i="1"/>
  <c r="F155" i="1" s="1"/>
  <c r="G155" i="1" s="1"/>
  <c r="E156" i="1"/>
  <c r="F156" i="1" s="1"/>
  <c r="G156" i="1" s="1"/>
  <c r="E157" i="1"/>
  <c r="F157" i="1" s="1"/>
  <c r="G157" i="1" s="1"/>
  <c r="E158" i="1"/>
  <c r="F158" i="1" s="1"/>
  <c r="G158" i="1" s="1"/>
  <c r="E159" i="1"/>
  <c r="F159" i="1" s="1"/>
  <c r="G159" i="1" s="1"/>
  <c r="E160" i="1"/>
  <c r="F160" i="1" s="1"/>
  <c r="G160" i="1" s="1"/>
  <c r="E161" i="1"/>
  <c r="F161" i="1" s="1"/>
  <c r="G161" i="1" s="1"/>
  <c r="E162" i="1"/>
  <c r="F162" i="1" s="1"/>
  <c r="G162" i="1" s="1"/>
  <c r="E163" i="1"/>
  <c r="F163" i="1" s="1"/>
  <c r="G163" i="1" s="1"/>
  <c r="E164" i="1"/>
  <c r="F164" i="1" s="1"/>
  <c r="G164" i="1" s="1"/>
  <c r="E165" i="1"/>
  <c r="F165" i="1" s="1"/>
  <c r="G165" i="1" s="1"/>
  <c r="E166" i="1"/>
  <c r="F166" i="1" s="1"/>
  <c r="G166" i="1" s="1"/>
  <c r="E167" i="1"/>
  <c r="F167" i="1" s="1"/>
  <c r="G167" i="1" s="1"/>
  <c r="E168" i="1"/>
  <c r="F168" i="1" s="1"/>
  <c r="G168" i="1" s="1"/>
  <c r="E169" i="1"/>
  <c r="F169" i="1" s="1"/>
  <c r="G169" i="1" s="1"/>
  <c r="E170" i="1"/>
  <c r="F170" i="1" s="1"/>
  <c r="G170" i="1" s="1"/>
  <c r="E171" i="1"/>
  <c r="F171" i="1" s="1"/>
  <c r="G171" i="1" s="1"/>
  <c r="E172" i="1"/>
  <c r="F172" i="1" s="1"/>
  <c r="G172" i="1" s="1"/>
  <c r="E173" i="1"/>
  <c r="F173" i="1" s="1"/>
  <c r="G173" i="1" s="1"/>
  <c r="E174" i="1"/>
  <c r="F174" i="1" s="1"/>
  <c r="G174" i="1" s="1"/>
  <c r="E175" i="1"/>
  <c r="F175" i="1" s="1"/>
  <c r="G175" i="1" s="1"/>
  <c r="E176" i="1"/>
  <c r="F176" i="1" s="1"/>
  <c r="G176" i="1" s="1"/>
  <c r="E177" i="1"/>
  <c r="F177" i="1" s="1"/>
  <c r="G177" i="1" s="1"/>
  <c r="E178" i="1"/>
  <c r="F178" i="1" s="1"/>
  <c r="G178" i="1" s="1"/>
  <c r="E179" i="1"/>
  <c r="F179" i="1" s="1"/>
  <c r="G179" i="1" s="1"/>
  <c r="E180" i="1"/>
  <c r="F180" i="1" s="1"/>
  <c r="G180" i="1" s="1"/>
  <c r="E181" i="1"/>
  <c r="F181" i="1" s="1"/>
  <c r="G181" i="1" s="1"/>
  <c r="E182" i="1"/>
  <c r="F182" i="1" s="1"/>
  <c r="G182" i="1" s="1"/>
  <c r="E183" i="1"/>
  <c r="F183" i="1" s="1"/>
  <c r="G183" i="1" s="1"/>
  <c r="E184" i="1"/>
  <c r="F184" i="1" s="1"/>
  <c r="G184" i="1" s="1"/>
  <c r="E185" i="1"/>
  <c r="F185" i="1" s="1"/>
  <c r="G185" i="1" s="1"/>
  <c r="E186" i="1"/>
  <c r="F186" i="1" s="1"/>
  <c r="G186" i="1" s="1"/>
  <c r="E187" i="1"/>
  <c r="F187" i="1" s="1"/>
  <c r="G187" i="1" s="1"/>
  <c r="E188" i="1"/>
  <c r="F188" i="1" s="1"/>
  <c r="G188" i="1" s="1"/>
  <c r="E189" i="1"/>
  <c r="F189" i="1" s="1"/>
  <c r="G189" i="1" s="1"/>
  <c r="E190" i="1"/>
  <c r="F190" i="1" s="1"/>
  <c r="G190" i="1" s="1"/>
  <c r="E191" i="1"/>
  <c r="F191" i="1" s="1"/>
  <c r="G191" i="1" s="1"/>
  <c r="E192" i="1"/>
  <c r="F192" i="1" s="1"/>
  <c r="G192" i="1" s="1"/>
  <c r="E193" i="1"/>
  <c r="F193" i="1" s="1"/>
  <c r="G193" i="1" s="1"/>
  <c r="E194" i="1"/>
  <c r="F194" i="1" s="1"/>
  <c r="G194" i="1" s="1"/>
  <c r="E195" i="1"/>
  <c r="F195" i="1" s="1"/>
  <c r="G195" i="1" s="1"/>
  <c r="E196" i="1"/>
  <c r="F196" i="1" s="1"/>
  <c r="G196" i="1" s="1"/>
  <c r="E197" i="1"/>
  <c r="F197" i="1" s="1"/>
  <c r="G197" i="1" s="1"/>
  <c r="E198" i="1"/>
  <c r="F198" i="1" s="1"/>
  <c r="G198" i="1" s="1"/>
  <c r="E199" i="1"/>
  <c r="F199" i="1" s="1"/>
  <c r="G199" i="1" s="1"/>
  <c r="E200" i="1"/>
  <c r="F200" i="1" s="1"/>
  <c r="G200" i="1" s="1"/>
  <c r="E201" i="1"/>
  <c r="F201" i="1" s="1"/>
  <c r="G201" i="1" s="1"/>
  <c r="E202" i="1"/>
  <c r="F202" i="1" s="1"/>
  <c r="G202" i="1" s="1"/>
  <c r="E203" i="1"/>
  <c r="F203" i="1" s="1"/>
  <c r="G203" i="1" s="1"/>
  <c r="E204" i="1"/>
  <c r="F204" i="1" s="1"/>
  <c r="G204" i="1" s="1"/>
  <c r="E205" i="1"/>
  <c r="F205" i="1" s="1"/>
  <c r="G205" i="1" s="1"/>
  <c r="E206" i="1"/>
  <c r="F206" i="1" s="1"/>
  <c r="G206" i="1" s="1"/>
  <c r="E207" i="1"/>
  <c r="F207" i="1" s="1"/>
  <c r="G207" i="1" s="1"/>
  <c r="E208" i="1"/>
  <c r="F208" i="1" s="1"/>
  <c r="G208" i="1" s="1"/>
  <c r="E209" i="1"/>
  <c r="F209" i="1" s="1"/>
  <c r="G209" i="1" s="1"/>
  <c r="E210" i="1"/>
  <c r="F210" i="1" s="1"/>
  <c r="G210" i="1" s="1"/>
  <c r="E211" i="1"/>
  <c r="F211" i="1" s="1"/>
  <c r="G211" i="1" s="1"/>
  <c r="E212" i="1"/>
  <c r="F212" i="1" s="1"/>
  <c r="G212" i="1" s="1"/>
  <c r="E213" i="1"/>
  <c r="F213" i="1" s="1"/>
  <c r="G213" i="1" s="1"/>
  <c r="E214" i="1"/>
  <c r="F214" i="1" s="1"/>
  <c r="G214" i="1" s="1"/>
  <c r="E215" i="1"/>
  <c r="F215" i="1" s="1"/>
  <c r="G215" i="1" s="1"/>
  <c r="E216" i="1"/>
  <c r="F216" i="1" s="1"/>
  <c r="G216" i="1" s="1"/>
  <c r="E217" i="1"/>
  <c r="F217" i="1" s="1"/>
  <c r="G217" i="1" s="1"/>
  <c r="E218" i="1"/>
  <c r="F218" i="1" s="1"/>
  <c r="G218" i="1" s="1"/>
  <c r="E219" i="1"/>
  <c r="F219" i="1" s="1"/>
  <c r="G219" i="1" s="1"/>
  <c r="E220" i="1"/>
  <c r="F220" i="1" s="1"/>
  <c r="G220" i="1" s="1"/>
  <c r="E221" i="1"/>
  <c r="F221" i="1" s="1"/>
  <c r="G221" i="1" s="1"/>
  <c r="E222" i="1"/>
  <c r="F222" i="1" s="1"/>
  <c r="G222" i="1" s="1"/>
  <c r="E223" i="1"/>
  <c r="F223" i="1" s="1"/>
  <c r="G223" i="1" s="1"/>
  <c r="E224" i="1"/>
  <c r="F224" i="1" s="1"/>
  <c r="G224" i="1" s="1"/>
  <c r="E225" i="1"/>
  <c r="F225" i="1" s="1"/>
  <c r="G225" i="1" s="1"/>
  <c r="E226" i="1"/>
  <c r="F226" i="1" s="1"/>
  <c r="G226" i="1" s="1"/>
  <c r="E227" i="1"/>
  <c r="F227" i="1" s="1"/>
  <c r="G227" i="1" s="1"/>
  <c r="E228" i="1"/>
  <c r="F228" i="1" s="1"/>
  <c r="G228" i="1" s="1"/>
  <c r="E229" i="1"/>
  <c r="F229" i="1" s="1"/>
  <c r="G229" i="1" s="1"/>
  <c r="E230" i="1"/>
  <c r="F230" i="1" s="1"/>
  <c r="G230" i="1" s="1"/>
  <c r="E231" i="1"/>
  <c r="F231" i="1" s="1"/>
  <c r="G231" i="1" s="1"/>
  <c r="E232" i="1"/>
  <c r="F232" i="1" s="1"/>
  <c r="G232" i="1" s="1"/>
  <c r="E233" i="1"/>
  <c r="F233" i="1" s="1"/>
  <c r="G233" i="1" s="1"/>
  <c r="E234" i="1"/>
  <c r="F234" i="1" s="1"/>
  <c r="G234" i="1" s="1"/>
  <c r="E235" i="1"/>
  <c r="F235" i="1" s="1"/>
  <c r="G235" i="1" s="1"/>
  <c r="E236" i="1"/>
  <c r="F236" i="1" s="1"/>
  <c r="G236" i="1" s="1"/>
  <c r="E237" i="1"/>
  <c r="F237" i="1" s="1"/>
  <c r="G237" i="1" s="1"/>
  <c r="E238" i="1"/>
  <c r="F238" i="1" s="1"/>
  <c r="G238" i="1" s="1"/>
  <c r="E239" i="1"/>
  <c r="F239" i="1" s="1"/>
  <c r="G239" i="1" s="1"/>
  <c r="E240" i="1"/>
  <c r="F240" i="1" s="1"/>
  <c r="G240" i="1" s="1"/>
  <c r="E241" i="1"/>
  <c r="F241" i="1" s="1"/>
  <c r="G241" i="1" s="1"/>
  <c r="E242" i="1"/>
  <c r="F242" i="1" s="1"/>
  <c r="G242" i="1" s="1"/>
  <c r="E243" i="1"/>
  <c r="F243" i="1" s="1"/>
  <c r="G243" i="1" s="1"/>
  <c r="E244" i="1"/>
  <c r="F244" i="1" s="1"/>
  <c r="G244" i="1" s="1"/>
  <c r="E245" i="1"/>
  <c r="F245" i="1" s="1"/>
  <c r="G245" i="1" s="1"/>
  <c r="E246" i="1"/>
  <c r="F246" i="1" s="1"/>
  <c r="G246" i="1" s="1"/>
  <c r="E247" i="1"/>
  <c r="F247" i="1" s="1"/>
  <c r="G247" i="1" s="1"/>
  <c r="E248" i="1"/>
  <c r="F248" i="1" s="1"/>
  <c r="G248" i="1" s="1"/>
  <c r="E249" i="1"/>
  <c r="F249" i="1" s="1"/>
  <c r="G249" i="1" s="1"/>
  <c r="E250" i="1"/>
  <c r="F250" i="1" s="1"/>
  <c r="G250" i="1" s="1"/>
  <c r="E251" i="1"/>
  <c r="F251" i="1" s="1"/>
  <c r="G251" i="1" s="1"/>
  <c r="E252" i="1"/>
  <c r="F252" i="1" s="1"/>
  <c r="G252" i="1" s="1"/>
  <c r="E253" i="1"/>
  <c r="F253" i="1" s="1"/>
  <c r="G253" i="1" s="1"/>
  <c r="E254" i="1"/>
  <c r="F254" i="1" s="1"/>
  <c r="G254" i="1" s="1"/>
  <c r="E255" i="1"/>
  <c r="F255" i="1" s="1"/>
  <c r="G255" i="1" s="1"/>
  <c r="E256" i="1"/>
  <c r="F256" i="1" s="1"/>
  <c r="G256" i="1" s="1"/>
  <c r="E257" i="1"/>
  <c r="F257" i="1" s="1"/>
  <c r="G257" i="1" s="1"/>
  <c r="E258" i="1"/>
  <c r="F258" i="1" s="1"/>
  <c r="G258" i="1" s="1"/>
  <c r="E259" i="1"/>
  <c r="F259" i="1" s="1"/>
  <c r="G259" i="1" s="1"/>
  <c r="E260" i="1"/>
  <c r="F260" i="1" s="1"/>
  <c r="G260" i="1" s="1"/>
  <c r="E261" i="1"/>
  <c r="F261" i="1" s="1"/>
  <c r="G261" i="1" s="1"/>
  <c r="E262" i="1"/>
  <c r="F262" i="1" s="1"/>
  <c r="G262" i="1" s="1"/>
  <c r="E263" i="1"/>
  <c r="F263" i="1" s="1"/>
  <c r="G263" i="1" s="1"/>
  <c r="E264" i="1"/>
  <c r="F264" i="1" s="1"/>
  <c r="G264" i="1" s="1"/>
  <c r="E265" i="1"/>
  <c r="F265" i="1" s="1"/>
  <c r="G265" i="1" s="1"/>
  <c r="E266" i="1"/>
  <c r="F266" i="1" s="1"/>
  <c r="G266" i="1" s="1"/>
  <c r="E267" i="1"/>
  <c r="F267" i="1" s="1"/>
  <c r="G267" i="1" s="1"/>
  <c r="E268" i="1"/>
  <c r="F268" i="1" s="1"/>
  <c r="G268" i="1" s="1"/>
  <c r="E269" i="1"/>
  <c r="F269" i="1" s="1"/>
  <c r="G269" i="1" s="1"/>
  <c r="E270" i="1"/>
  <c r="F270" i="1" s="1"/>
  <c r="G270" i="1" s="1"/>
  <c r="E271" i="1"/>
  <c r="F271" i="1" s="1"/>
  <c r="G271" i="1" s="1"/>
  <c r="E272" i="1"/>
  <c r="F272" i="1" s="1"/>
  <c r="G272" i="1" s="1"/>
  <c r="E273" i="1"/>
  <c r="F273" i="1" s="1"/>
  <c r="G273" i="1" s="1"/>
  <c r="E274" i="1"/>
  <c r="F274" i="1" s="1"/>
  <c r="G274" i="1" s="1"/>
  <c r="E275" i="1"/>
  <c r="F275" i="1" s="1"/>
  <c r="G275" i="1" s="1"/>
  <c r="E276" i="1"/>
  <c r="F276" i="1" s="1"/>
  <c r="G276" i="1" s="1"/>
  <c r="E277" i="1"/>
  <c r="F277" i="1" s="1"/>
  <c r="G277" i="1" s="1"/>
  <c r="E278" i="1"/>
  <c r="F278" i="1" s="1"/>
  <c r="G278" i="1" s="1"/>
  <c r="E279" i="1"/>
  <c r="F279" i="1" s="1"/>
  <c r="G279" i="1" s="1"/>
  <c r="E280" i="1"/>
  <c r="F280" i="1" s="1"/>
  <c r="G280" i="1" s="1"/>
  <c r="E281" i="1"/>
  <c r="F281" i="1" s="1"/>
  <c r="G281" i="1" s="1"/>
  <c r="E282" i="1"/>
  <c r="F282" i="1" s="1"/>
  <c r="G282" i="1" s="1"/>
  <c r="E283" i="1"/>
  <c r="F283" i="1" s="1"/>
  <c r="G283" i="1" s="1"/>
  <c r="E284" i="1"/>
  <c r="F284" i="1" s="1"/>
  <c r="G284" i="1" s="1"/>
  <c r="E285" i="1"/>
  <c r="F285" i="1" s="1"/>
  <c r="G285" i="1" s="1"/>
  <c r="E286" i="1"/>
  <c r="F286" i="1" s="1"/>
  <c r="G286" i="1" s="1"/>
  <c r="E287" i="1"/>
  <c r="F287" i="1" s="1"/>
  <c r="G287" i="1" s="1"/>
  <c r="E288" i="1"/>
  <c r="F288" i="1" s="1"/>
  <c r="G288" i="1" s="1"/>
  <c r="E289" i="1"/>
  <c r="F289" i="1" s="1"/>
  <c r="G289" i="1" s="1"/>
  <c r="E290" i="1"/>
  <c r="F290" i="1" s="1"/>
  <c r="G290" i="1" s="1"/>
  <c r="E291" i="1"/>
  <c r="F291" i="1" s="1"/>
  <c r="G291" i="1" s="1"/>
  <c r="E292" i="1"/>
  <c r="F292" i="1" s="1"/>
  <c r="G292" i="1" s="1"/>
  <c r="E293" i="1"/>
  <c r="F293" i="1" s="1"/>
  <c r="G293" i="1" s="1"/>
  <c r="E294" i="1"/>
  <c r="F294" i="1" s="1"/>
  <c r="G294" i="1" s="1"/>
  <c r="E295" i="1"/>
  <c r="F295" i="1" s="1"/>
  <c r="G295" i="1" s="1"/>
  <c r="E296" i="1"/>
  <c r="F296" i="1" s="1"/>
  <c r="G296" i="1" s="1"/>
  <c r="E297" i="1"/>
  <c r="F297" i="1" s="1"/>
  <c r="G297" i="1" s="1"/>
  <c r="E298" i="1"/>
  <c r="F298" i="1" s="1"/>
  <c r="G298" i="1" s="1"/>
  <c r="E299" i="1"/>
  <c r="F299" i="1" s="1"/>
  <c r="G299" i="1" s="1"/>
  <c r="E300" i="1"/>
  <c r="F300" i="1" s="1"/>
  <c r="G300" i="1" s="1"/>
  <c r="E301" i="1"/>
  <c r="F301" i="1" s="1"/>
  <c r="G301" i="1" s="1"/>
  <c r="E302" i="1"/>
  <c r="F302" i="1" s="1"/>
  <c r="G302" i="1" s="1"/>
  <c r="E303" i="1"/>
  <c r="F303" i="1" s="1"/>
  <c r="G303" i="1" s="1"/>
  <c r="E304" i="1"/>
  <c r="F304" i="1" s="1"/>
  <c r="G304" i="1" s="1"/>
  <c r="E305" i="1"/>
  <c r="F305" i="1" s="1"/>
  <c r="G305" i="1" s="1"/>
  <c r="E306" i="1"/>
  <c r="F306" i="1" s="1"/>
  <c r="G306" i="1" s="1"/>
  <c r="E307" i="1"/>
  <c r="F307" i="1" s="1"/>
  <c r="G307" i="1" s="1"/>
  <c r="E308" i="1"/>
  <c r="F308" i="1" s="1"/>
  <c r="G308" i="1" s="1"/>
  <c r="E309" i="1"/>
  <c r="F309" i="1" s="1"/>
  <c r="G309" i="1" s="1"/>
  <c r="E310" i="1"/>
  <c r="F310" i="1" s="1"/>
  <c r="G310" i="1" s="1"/>
  <c r="E311" i="1"/>
  <c r="F311" i="1" s="1"/>
  <c r="G311" i="1" s="1"/>
  <c r="E312" i="1"/>
  <c r="F312" i="1" s="1"/>
  <c r="G312" i="1" s="1"/>
  <c r="E313" i="1"/>
  <c r="F313" i="1" s="1"/>
  <c r="G313" i="1" s="1"/>
  <c r="E314" i="1"/>
  <c r="F314" i="1" s="1"/>
  <c r="G314" i="1" s="1"/>
  <c r="E315" i="1"/>
  <c r="F315" i="1" s="1"/>
  <c r="G315" i="1" s="1"/>
  <c r="E316" i="1"/>
  <c r="F316" i="1" s="1"/>
  <c r="G316" i="1" s="1"/>
  <c r="E317" i="1"/>
  <c r="F317" i="1" s="1"/>
  <c r="G317" i="1" s="1"/>
  <c r="E318" i="1"/>
  <c r="F318" i="1" s="1"/>
  <c r="G318" i="1" s="1"/>
  <c r="E319" i="1"/>
  <c r="F319" i="1" s="1"/>
  <c r="G319" i="1" s="1"/>
  <c r="E320" i="1"/>
  <c r="F320" i="1" s="1"/>
  <c r="G320" i="1" s="1"/>
  <c r="E321" i="1"/>
  <c r="F321" i="1" s="1"/>
  <c r="G321" i="1" s="1"/>
  <c r="E322" i="1"/>
  <c r="F322" i="1" s="1"/>
  <c r="G322" i="1" s="1"/>
  <c r="E323" i="1"/>
  <c r="F323" i="1" s="1"/>
  <c r="G323" i="1" s="1"/>
  <c r="E324" i="1"/>
  <c r="F324" i="1" s="1"/>
  <c r="G324" i="1" s="1"/>
  <c r="E325" i="1"/>
  <c r="F325" i="1" s="1"/>
  <c r="G325" i="1" s="1"/>
  <c r="E326" i="1"/>
  <c r="F326" i="1" s="1"/>
  <c r="G326" i="1" s="1"/>
  <c r="E327" i="1"/>
  <c r="F327" i="1" s="1"/>
  <c r="G327" i="1" s="1"/>
  <c r="E328" i="1"/>
  <c r="F328" i="1" s="1"/>
  <c r="G328" i="1" s="1"/>
  <c r="E329" i="1"/>
  <c r="F329" i="1" s="1"/>
  <c r="G329" i="1" s="1"/>
  <c r="E330" i="1"/>
  <c r="F330" i="1" s="1"/>
  <c r="G330" i="1" s="1"/>
  <c r="E331" i="1"/>
  <c r="F331" i="1" s="1"/>
  <c r="G331" i="1" s="1"/>
  <c r="E332" i="1"/>
  <c r="F332" i="1" s="1"/>
  <c r="G332" i="1" s="1"/>
  <c r="E333" i="1"/>
  <c r="F333" i="1" s="1"/>
  <c r="G333" i="1" s="1"/>
  <c r="E334" i="1"/>
  <c r="F334" i="1" s="1"/>
  <c r="G334" i="1" s="1"/>
  <c r="E335" i="1"/>
  <c r="F335" i="1" s="1"/>
  <c r="G335" i="1" s="1"/>
  <c r="E336" i="1"/>
  <c r="F336" i="1" s="1"/>
  <c r="G336" i="1" s="1"/>
  <c r="E337" i="1"/>
  <c r="F337" i="1" s="1"/>
  <c r="G337" i="1" s="1"/>
  <c r="E338" i="1"/>
  <c r="F338" i="1" s="1"/>
  <c r="G338" i="1" s="1"/>
  <c r="E339" i="1"/>
  <c r="F339" i="1" s="1"/>
  <c r="G339" i="1" s="1"/>
  <c r="E340" i="1"/>
  <c r="F340" i="1" s="1"/>
  <c r="G340" i="1" s="1"/>
  <c r="E341" i="1"/>
  <c r="F341" i="1" s="1"/>
  <c r="G341" i="1" s="1"/>
  <c r="E342" i="1"/>
  <c r="F342" i="1" s="1"/>
  <c r="G342" i="1" s="1"/>
  <c r="E343" i="1"/>
  <c r="F343" i="1" s="1"/>
  <c r="G343" i="1" s="1"/>
  <c r="E344" i="1"/>
  <c r="F344" i="1" s="1"/>
  <c r="G344" i="1" s="1"/>
  <c r="E345" i="1"/>
  <c r="F345" i="1" s="1"/>
  <c r="G345" i="1" s="1"/>
  <c r="E346" i="1"/>
  <c r="F346" i="1" s="1"/>
  <c r="G346" i="1" s="1"/>
  <c r="E347" i="1"/>
  <c r="F347" i="1" s="1"/>
  <c r="G347" i="1" s="1"/>
  <c r="E348" i="1"/>
  <c r="F348" i="1" s="1"/>
  <c r="G348" i="1" s="1"/>
  <c r="E349" i="1"/>
  <c r="F349" i="1" s="1"/>
  <c r="G349" i="1" s="1"/>
  <c r="E350" i="1"/>
  <c r="F350" i="1" s="1"/>
  <c r="G350" i="1" s="1"/>
  <c r="E351" i="1"/>
  <c r="F351" i="1" s="1"/>
  <c r="G351" i="1" s="1"/>
  <c r="E352" i="1"/>
  <c r="F352" i="1" s="1"/>
  <c r="G352" i="1" s="1"/>
  <c r="E353" i="1"/>
  <c r="F353" i="1" s="1"/>
  <c r="G353" i="1" s="1"/>
  <c r="E354" i="1"/>
  <c r="F354" i="1" s="1"/>
  <c r="G354" i="1" s="1"/>
  <c r="E355" i="1"/>
  <c r="F355" i="1" s="1"/>
  <c r="G355" i="1" s="1"/>
  <c r="E356" i="1"/>
  <c r="F356" i="1" s="1"/>
  <c r="G356" i="1" s="1"/>
  <c r="E357" i="1"/>
  <c r="F357" i="1" s="1"/>
  <c r="G357" i="1" s="1"/>
  <c r="E358" i="1"/>
  <c r="F358" i="1" s="1"/>
  <c r="G358" i="1" s="1"/>
  <c r="E359" i="1"/>
  <c r="F359" i="1" s="1"/>
  <c r="G359" i="1" s="1"/>
  <c r="E360" i="1"/>
  <c r="F360" i="1" s="1"/>
  <c r="G360" i="1" s="1"/>
  <c r="E361" i="1"/>
  <c r="F361" i="1" s="1"/>
  <c r="G361" i="1" s="1"/>
  <c r="E362" i="1"/>
  <c r="F362" i="1" s="1"/>
  <c r="G362" i="1" s="1"/>
  <c r="E363" i="1"/>
  <c r="F363" i="1" s="1"/>
  <c r="G363" i="1" s="1"/>
  <c r="E364" i="1"/>
  <c r="F364" i="1" s="1"/>
  <c r="G364" i="1" s="1"/>
  <c r="E365" i="1"/>
  <c r="F365" i="1" s="1"/>
  <c r="G365" i="1" s="1"/>
  <c r="E366" i="1"/>
  <c r="F366" i="1" s="1"/>
  <c r="G366" i="1" s="1"/>
  <c r="E367" i="1"/>
  <c r="F367" i="1" s="1"/>
  <c r="G367" i="1" s="1"/>
  <c r="E368" i="1"/>
  <c r="F368" i="1" s="1"/>
  <c r="G368" i="1" s="1"/>
  <c r="E369" i="1"/>
  <c r="F369" i="1" s="1"/>
  <c r="G369" i="1" s="1"/>
  <c r="E370" i="1"/>
  <c r="F370" i="1" s="1"/>
  <c r="G370" i="1" s="1"/>
  <c r="E371" i="1"/>
  <c r="F371" i="1" s="1"/>
  <c r="G371" i="1" s="1"/>
  <c r="E372" i="1"/>
  <c r="F372" i="1" s="1"/>
  <c r="G372" i="1" s="1"/>
  <c r="E373" i="1"/>
  <c r="F373" i="1" s="1"/>
  <c r="G373" i="1" s="1"/>
  <c r="E374" i="1"/>
  <c r="F374" i="1" s="1"/>
  <c r="G374" i="1" s="1"/>
  <c r="E375" i="1"/>
  <c r="F375" i="1" s="1"/>
  <c r="G375" i="1" s="1"/>
  <c r="E376" i="1"/>
  <c r="F376" i="1" s="1"/>
  <c r="G376" i="1" s="1"/>
  <c r="E377" i="1"/>
  <c r="F377" i="1" s="1"/>
  <c r="G377" i="1" s="1"/>
  <c r="E378" i="1"/>
  <c r="F378" i="1" s="1"/>
  <c r="G378" i="1" s="1"/>
  <c r="E379" i="1"/>
  <c r="F379" i="1" s="1"/>
  <c r="G379" i="1" s="1"/>
  <c r="E380" i="1"/>
  <c r="F380" i="1" s="1"/>
  <c r="G380" i="1" s="1"/>
  <c r="E381" i="1"/>
  <c r="F381" i="1" s="1"/>
  <c r="G381" i="1" s="1"/>
  <c r="E382" i="1"/>
  <c r="F382" i="1" s="1"/>
  <c r="G382" i="1" s="1"/>
  <c r="E383" i="1"/>
  <c r="F383" i="1" s="1"/>
  <c r="G383" i="1" s="1"/>
  <c r="E384" i="1"/>
  <c r="F384" i="1" s="1"/>
  <c r="G384" i="1" s="1"/>
  <c r="E385" i="1"/>
  <c r="F385" i="1" s="1"/>
  <c r="G385" i="1" s="1"/>
  <c r="E386" i="1"/>
  <c r="F386" i="1" s="1"/>
  <c r="G386" i="1" s="1"/>
  <c r="E387" i="1"/>
  <c r="F387" i="1" s="1"/>
  <c r="G387" i="1" s="1"/>
  <c r="E388" i="1"/>
  <c r="F388" i="1" s="1"/>
  <c r="G388" i="1" s="1"/>
  <c r="E389" i="1"/>
  <c r="F389" i="1" s="1"/>
  <c r="G389" i="1" s="1"/>
  <c r="E390" i="1"/>
  <c r="F390" i="1" s="1"/>
  <c r="G390" i="1" s="1"/>
  <c r="E391" i="1"/>
  <c r="F391" i="1" s="1"/>
  <c r="G391" i="1" s="1"/>
  <c r="E392" i="1"/>
  <c r="F392" i="1" s="1"/>
  <c r="G392" i="1" s="1"/>
  <c r="E393" i="1"/>
  <c r="F393" i="1" s="1"/>
  <c r="G393" i="1" s="1"/>
  <c r="E394" i="1"/>
  <c r="F394" i="1" s="1"/>
  <c r="G394" i="1" s="1"/>
  <c r="E395" i="1"/>
  <c r="F395" i="1" s="1"/>
  <c r="G395" i="1" s="1"/>
  <c r="E396" i="1"/>
  <c r="F396" i="1" s="1"/>
  <c r="G396" i="1" s="1"/>
  <c r="E397" i="1"/>
  <c r="F397" i="1" s="1"/>
  <c r="G397" i="1" s="1"/>
  <c r="E398" i="1"/>
  <c r="F398" i="1" s="1"/>
  <c r="G398" i="1" s="1"/>
  <c r="E399" i="1"/>
  <c r="F399" i="1" s="1"/>
  <c r="G399" i="1" s="1"/>
  <c r="E400" i="1"/>
  <c r="F400" i="1" s="1"/>
  <c r="G400" i="1" s="1"/>
  <c r="E401" i="1"/>
  <c r="F401" i="1" s="1"/>
  <c r="G401" i="1" s="1"/>
  <c r="J32" i="1" l="1"/>
  <c r="I32" i="1"/>
  <c r="J20" i="1"/>
  <c r="I20" i="1"/>
  <c r="J8" i="1"/>
  <c r="I8" i="1"/>
  <c r="J391" i="1"/>
  <c r="I391" i="1"/>
  <c r="J379" i="1"/>
  <c r="I379" i="1"/>
  <c r="J367" i="1"/>
  <c r="I367" i="1"/>
  <c r="J355" i="1"/>
  <c r="I355" i="1"/>
  <c r="J343" i="1"/>
  <c r="I343" i="1"/>
  <c r="J331" i="1"/>
  <c r="I331" i="1"/>
  <c r="J319" i="1"/>
  <c r="I319" i="1"/>
  <c r="J307" i="1"/>
  <c r="I307" i="1"/>
  <c r="J295" i="1"/>
  <c r="I295" i="1"/>
  <c r="J283" i="1"/>
  <c r="I283" i="1"/>
  <c r="J271" i="1"/>
  <c r="I271" i="1"/>
  <c r="J259" i="1"/>
  <c r="I259" i="1"/>
  <c r="J247" i="1"/>
  <c r="I247" i="1"/>
  <c r="J235" i="1"/>
  <c r="I235" i="1"/>
  <c r="J223" i="1"/>
  <c r="I223" i="1"/>
  <c r="J211" i="1"/>
  <c r="I211" i="1"/>
  <c r="J199" i="1"/>
  <c r="I199" i="1"/>
  <c r="J187" i="1"/>
  <c r="I187" i="1"/>
  <c r="J175" i="1"/>
  <c r="I175" i="1"/>
  <c r="J163" i="1"/>
  <c r="I163" i="1"/>
  <c r="J151" i="1"/>
  <c r="I151" i="1"/>
  <c r="J139" i="1"/>
  <c r="I139" i="1"/>
  <c r="J127" i="1"/>
  <c r="I127" i="1"/>
  <c r="J115" i="1"/>
  <c r="I115" i="1"/>
  <c r="J103" i="1"/>
  <c r="I103" i="1"/>
  <c r="J91" i="1"/>
  <c r="I91" i="1"/>
  <c r="J79" i="1"/>
  <c r="I79" i="1"/>
  <c r="J67" i="1"/>
  <c r="I67" i="1"/>
  <c r="J55" i="1"/>
  <c r="I55" i="1"/>
  <c r="J43" i="1"/>
  <c r="I43" i="1"/>
  <c r="J31" i="1"/>
  <c r="I31" i="1"/>
  <c r="J19" i="1"/>
  <c r="I19" i="1"/>
  <c r="J7" i="1"/>
  <c r="I7" i="1"/>
  <c r="J390" i="1"/>
  <c r="I390" i="1"/>
  <c r="J378" i="1"/>
  <c r="I378" i="1"/>
  <c r="J366" i="1"/>
  <c r="I366" i="1"/>
  <c r="J354" i="1"/>
  <c r="I354" i="1"/>
  <c r="J342" i="1"/>
  <c r="I342" i="1"/>
  <c r="J330" i="1"/>
  <c r="I330" i="1"/>
  <c r="J318" i="1"/>
  <c r="I318" i="1"/>
  <c r="J306" i="1"/>
  <c r="I306" i="1"/>
  <c r="J294" i="1"/>
  <c r="I294" i="1"/>
  <c r="J282" i="1"/>
  <c r="I282" i="1"/>
  <c r="J270" i="1"/>
  <c r="I270" i="1"/>
  <c r="J258" i="1"/>
  <c r="I258" i="1"/>
  <c r="J246" i="1"/>
  <c r="I246" i="1"/>
  <c r="J234" i="1"/>
  <c r="I234" i="1"/>
  <c r="J222" i="1"/>
  <c r="I222" i="1"/>
  <c r="J210" i="1"/>
  <c r="I210" i="1"/>
  <c r="J198" i="1"/>
  <c r="I198" i="1"/>
  <c r="J186" i="1"/>
  <c r="I186" i="1"/>
  <c r="J174" i="1"/>
  <c r="I174" i="1"/>
  <c r="J162" i="1"/>
  <c r="I162" i="1"/>
  <c r="J150" i="1"/>
  <c r="I150" i="1"/>
  <c r="J138" i="1"/>
  <c r="I138" i="1"/>
  <c r="J126" i="1"/>
  <c r="I126" i="1"/>
  <c r="J114" i="1"/>
  <c r="I114" i="1"/>
  <c r="J102" i="1"/>
  <c r="I102" i="1"/>
  <c r="J90" i="1"/>
  <c r="I90" i="1"/>
  <c r="J78" i="1"/>
  <c r="I78" i="1"/>
  <c r="J66" i="1"/>
  <c r="I66" i="1"/>
  <c r="J54" i="1"/>
  <c r="I54" i="1"/>
  <c r="J42" i="1"/>
  <c r="I42" i="1"/>
  <c r="J30" i="1"/>
  <c r="I30" i="1"/>
  <c r="J18" i="1"/>
  <c r="I18" i="1"/>
  <c r="J6" i="1"/>
  <c r="I6" i="1"/>
  <c r="J385" i="1"/>
  <c r="I385" i="1"/>
  <c r="J361" i="1"/>
  <c r="I361" i="1"/>
  <c r="J325" i="1"/>
  <c r="I325" i="1"/>
  <c r="J301" i="1"/>
  <c r="I301" i="1"/>
  <c r="J277" i="1"/>
  <c r="I277" i="1"/>
  <c r="J253" i="1"/>
  <c r="I253" i="1"/>
  <c r="J217" i="1"/>
  <c r="I217" i="1"/>
  <c r="J193" i="1"/>
  <c r="I193" i="1"/>
  <c r="J169" i="1"/>
  <c r="I169" i="1"/>
  <c r="J133" i="1"/>
  <c r="I133" i="1"/>
  <c r="J97" i="1"/>
  <c r="I97" i="1"/>
  <c r="J25" i="1"/>
  <c r="I25" i="1"/>
  <c r="J384" i="1"/>
  <c r="I384" i="1"/>
  <c r="J360" i="1"/>
  <c r="I360" i="1"/>
  <c r="J336" i="1"/>
  <c r="I336" i="1"/>
  <c r="J312" i="1"/>
  <c r="I312" i="1"/>
  <c r="J276" i="1"/>
  <c r="I276" i="1"/>
  <c r="J252" i="1"/>
  <c r="I252" i="1"/>
  <c r="J228" i="1"/>
  <c r="I228" i="1"/>
  <c r="J204" i="1"/>
  <c r="I204" i="1"/>
  <c r="J180" i="1"/>
  <c r="I180" i="1"/>
  <c r="J156" i="1"/>
  <c r="I156" i="1"/>
  <c r="J132" i="1"/>
  <c r="I132" i="1"/>
  <c r="J108" i="1"/>
  <c r="I108" i="1"/>
  <c r="J84" i="1"/>
  <c r="I84" i="1"/>
  <c r="J72" i="1"/>
  <c r="I72" i="1"/>
  <c r="J60" i="1"/>
  <c r="I60" i="1"/>
  <c r="J48" i="1"/>
  <c r="I48" i="1"/>
  <c r="J24" i="1"/>
  <c r="I24" i="1"/>
  <c r="J12" i="1"/>
  <c r="I12" i="1"/>
  <c r="J227" i="1"/>
  <c r="I227" i="1"/>
  <c r="J203" i="1"/>
  <c r="I203" i="1"/>
  <c r="J179" i="1"/>
  <c r="I179" i="1"/>
  <c r="J95" i="1"/>
  <c r="I95" i="1"/>
  <c r="J358" i="1"/>
  <c r="I358" i="1"/>
  <c r="J381" i="1"/>
  <c r="I381" i="1"/>
  <c r="J357" i="1"/>
  <c r="I357" i="1"/>
  <c r="J333" i="1"/>
  <c r="I333" i="1"/>
  <c r="J309" i="1"/>
  <c r="I309" i="1"/>
  <c r="J285" i="1"/>
  <c r="I285" i="1"/>
  <c r="J273" i="1"/>
  <c r="I273" i="1"/>
  <c r="J249" i="1"/>
  <c r="I249" i="1"/>
  <c r="J213" i="1"/>
  <c r="I213" i="1"/>
  <c r="J189" i="1"/>
  <c r="I189" i="1"/>
  <c r="J165" i="1"/>
  <c r="I165" i="1"/>
  <c r="J141" i="1"/>
  <c r="I141" i="1"/>
  <c r="J117" i="1"/>
  <c r="I117" i="1"/>
  <c r="J93" i="1"/>
  <c r="I93" i="1"/>
  <c r="J69" i="1"/>
  <c r="I69" i="1"/>
  <c r="J57" i="1"/>
  <c r="I57" i="1"/>
  <c r="J33" i="1"/>
  <c r="I33" i="1"/>
  <c r="J9" i="1"/>
  <c r="I9" i="1"/>
  <c r="J392" i="1"/>
  <c r="I392" i="1"/>
  <c r="J380" i="1"/>
  <c r="I380" i="1"/>
  <c r="J368" i="1"/>
  <c r="I368" i="1"/>
  <c r="J356" i="1"/>
  <c r="I356" i="1"/>
  <c r="J332" i="1"/>
  <c r="I332" i="1"/>
  <c r="J308" i="1"/>
  <c r="I308" i="1"/>
  <c r="J284" i="1"/>
  <c r="I284" i="1"/>
  <c r="J272" i="1"/>
  <c r="I272" i="1"/>
  <c r="J248" i="1"/>
  <c r="I248" i="1"/>
  <c r="J224" i="1"/>
  <c r="I224" i="1"/>
  <c r="J200" i="1"/>
  <c r="I200" i="1"/>
  <c r="J176" i="1"/>
  <c r="I176" i="1"/>
  <c r="J152" i="1"/>
  <c r="I152" i="1"/>
  <c r="J128" i="1"/>
  <c r="I128" i="1"/>
  <c r="J104" i="1"/>
  <c r="I104" i="1"/>
  <c r="J80" i="1"/>
  <c r="I80" i="1"/>
  <c r="J56" i="1"/>
  <c r="I56" i="1"/>
  <c r="J401" i="1"/>
  <c r="I401" i="1"/>
  <c r="J377" i="1"/>
  <c r="I377" i="1"/>
  <c r="J353" i="1"/>
  <c r="I353" i="1"/>
  <c r="J341" i="1"/>
  <c r="I341" i="1"/>
  <c r="J305" i="1"/>
  <c r="I305" i="1"/>
  <c r="J269" i="1"/>
  <c r="I269" i="1"/>
  <c r="J245" i="1"/>
  <c r="I245" i="1"/>
  <c r="J221" i="1"/>
  <c r="I221" i="1"/>
  <c r="J197" i="1"/>
  <c r="I197" i="1"/>
  <c r="J173" i="1"/>
  <c r="I173" i="1"/>
  <c r="J161" i="1"/>
  <c r="I161" i="1"/>
  <c r="J137" i="1"/>
  <c r="I137" i="1"/>
  <c r="J113" i="1"/>
  <c r="I113" i="1"/>
  <c r="J89" i="1"/>
  <c r="I89" i="1"/>
  <c r="J77" i="1"/>
  <c r="I77" i="1"/>
  <c r="J53" i="1"/>
  <c r="I53" i="1"/>
  <c r="J29" i="1"/>
  <c r="I29" i="1"/>
  <c r="J17" i="1"/>
  <c r="I17" i="1"/>
  <c r="J400" i="1"/>
  <c r="I400" i="1"/>
  <c r="J388" i="1"/>
  <c r="I388" i="1"/>
  <c r="J376" i="1"/>
  <c r="I376" i="1"/>
  <c r="J364" i="1"/>
  <c r="I364" i="1"/>
  <c r="J352" i="1"/>
  <c r="I352" i="1"/>
  <c r="J340" i="1"/>
  <c r="I340" i="1"/>
  <c r="J328" i="1"/>
  <c r="I328" i="1"/>
  <c r="J316" i="1"/>
  <c r="I316" i="1"/>
  <c r="J304" i="1"/>
  <c r="I304" i="1"/>
  <c r="J292" i="1"/>
  <c r="I292" i="1"/>
  <c r="J280" i="1"/>
  <c r="I280" i="1"/>
  <c r="J268" i="1"/>
  <c r="I268" i="1"/>
  <c r="J256" i="1"/>
  <c r="I256" i="1"/>
  <c r="J244" i="1"/>
  <c r="I244" i="1"/>
  <c r="J232" i="1"/>
  <c r="I232" i="1"/>
  <c r="J220" i="1"/>
  <c r="I220" i="1"/>
  <c r="J208" i="1"/>
  <c r="I208" i="1"/>
  <c r="J196" i="1"/>
  <c r="I196" i="1"/>
  <c r="J184" i="1"/>
  <c r="I184" i="1"/>
  <c r="J172" i="1"/>
  <c r="I172" i="1"/>
  <c r="J160" i="1"/>
  <c r="I160" i="1"/>
  <c r="J148" i="1"/>
  <c r="I148" i="1"/>
  <c r="J136" i="1"/>
  <c r="I136" i="1"/>
  <c r="J124" i="1"/>
  <c r="I124" i="1"/>
  <c r="J112" i="1"/>
  <c r="I112" i="1"/>
  <c r="J100" i="1"/>
  <c r="I100" i="1"/>
  <c r="J88" i="1"/>
  <c r="I88" i="1"/>
  <c r="J76" i="1"/>
  <c r="I76" i="1"/>
  <c r="J64" i="1"/>
  <c r="I64" i="1"/>
  <c r="J52" i="1"/>
  <c r="I52" i="1"/>
  <c r="J40" i="1"/>
  <c r="I40" i="1"/>
  <c r="J28" i="1"/>
  <c r="I28" i="1"/>
  <c r="J16" i="1"/>
  <c r="I16" i="1"/>
  <c r="J4" i="1"/>
  <c r="I4" i="1"/>
  <c r="J399" i="1"/>
  <c r="I399" i="1"/>
  <c r="J387" i="1"/>
  <c r="I387" i="1"/>
  <c r="J375" i="1"/>
  <c r="I375" i="1"/>
  <c r="J363" i="1"/>
  <c r="I363" i="1"/>
  <c r="J351" i="1"/>
  <c r="I351" i="1"/>
  <c r="J339" i="1"/>
  <c r="I339" i="1"/>
  <c r="J327" i="1"/>
  <c r="I327" i="1"/>
  <c r="J315" i="1"/>
  <c r="I315" i="1"/>
  <c r="J303" i="1"/>
  <c r="I303" i="1"/>
  <c r="J291" i="1"/>
  <c r="I291" i="1"/>
  <c r="J279" i="1"/>
  <c r="I279" i="1"/>
  <c r="J267" i="1"/>
  <c r="I267" i="1"/>
  <c r="J255" i="1"/>
  <c r="I255" i="1"/>
  <c r="J243" i="1"/>
  <c r="I243" i="1"/>
  <c r="J231" i="1"/>
  <c r="I231" i="1"/>
  <c r="J219" i="1"/>
  <c r="I219" i="1"/>
  <c r="J207" i="1"/>
  <c r="I207" i="1"/>
  <c r="J195" i="1"/>
  <c r="I195" i="1"/>
  <c r="J183" i="1"/>
  <c r="I183" i="1"/>
  <c r="J171" i="1"/>
  <c r="I171" i="1"/>
  <c r="J159" i="1"/>
  <c r="I159" i="1"/>
  <c r="J147" i="1"/>
  <c r="I147" i="1"/>
  <c r="J135" i="1"/>
  <c r="I135" i="1"/>
  <c r="J123" i="1"/>
  <c r="I123" i="1"/>
  <c r="J111" i="1"/>
  <c r="I111" i="1"/>
  <c r="J99" i="1"/>
  <c r="I99" i="1"/>
  <c r="J87" i="1"/>
  <c r="I87" i="1"/>
  <c r="J75" i="1"/>
  <c r="I75" i="1"/>
  <c r="J63" i="1"/>
  <c r="I63" i="1"/>
  <c r="J51" i="1"/>
  <c r="I51" i="1"/>
  <c r="J39" i="1"/>
  <c r="I39" i="1"/>
  <c r="J27" i="1"/>
  <c r="I27" i="1"/>
  <c r="J15" i="1"/>
  <c r="I15" i="1"/>
  <c r="J3" i="1"/>
  <c r="I3" i="1"/>
  <c r="J397" i="1"/>
  <c r="I397" i="1"/>
  <c r="J373" i="1"/>
  <c r="I373" i="1"/>
  <c r="J349" i="1"/>
  <c r="I349" i="1"/>
  <c r="J337" i="1"/>
  <c r="I337" i="1"/>
  <c r="J313" i="1"/>
  <c r="I313" i="1"/>
  <c r="J289" i="1"/>
  <c r="I289" i="1"/>
  <c r="J265" i="1"/>
  <c r="I265" i="1"/>
  <c r="J241" i="1"/>
  <c r="I241" i="1"/>
  <c r="J229" i="1"/>
  <c r="I229" i="1"/>
  <c r="J205" i="1"/>
  <c r="I205" i="1"/>
  <c r="J181" i="1"/>
  <c r="I181" i="1"/>
  <c r="J157" i="1"/>
  <c r="I157" i="1"/>
  <c r="J145" i="1"/>
  <c r="I145" i="1"/>
  <c r="J121" i="1"/>
  <c r="I121" i="1"/>
  <c r="J109" i="1"/>
  <c r="I109" i="1"/>
  <c r="J85" i="1"/>
  <c r="I85" i="1"/>
  <c r="J73" i="1"/>
  <c r="I73" i="1"/>
  <c r="J61" i="1"/>
  <c r="I61" i="1"/>
  <c r="J49" i="1"/>
  <c r="I49" i="1"/>
  <c r="J37" i="1"/>
  <c r="I37" i="1"/>
  <c r="J13" i="1"/>
  <c r="I13" i="1"/>
  <c r="J396" i="1"/>
  <c r="I396" i="1"/>
  <c r="J372" i="1"/>
  <c r="I372" i="1"/>
  <c r="J348" i="1"/>
  <c r="I348" i="1"/>
  <c r="J324" i="1"/>
  <c r="I324" i="1"/>
  <c r="J300" i="1"/>
  <c r="I300" i="1"/>
  <c r="J288" i="1"/>
  <c r="I288" i="1"/>
  <c r="J264" i="1"/>
  <c r="I264" i="1"/>
  <c r="J240" i="1"/>
  <c r="I240" i="1"/>
  <c r="J216" i="1"/>
  <c r="I216" i="1"/>
  <c r="J192" i="1"/>
  <c r="I192" i="1"/>
  <c r="J168" i="1"/>
  <c r="I168" i="1"/>
  <c r="J144" i="1"/>
  <c r="I144" i="1"/>
  <c r="J120" i="1"/>
  <c r="I120" i="1"/>
  <c r="J96" i="1"/>
  <c r="I96" i="1"/>
  <c r="J36" i="1"/>
  <c r="I36" i="1"/>
  <c r="J395" i="1"/>
  <c r="I395" i="1"/>
  <c r="J383" i="1"/>
  <c r="I383" i="1"/>
  <c r="J371" i="1"/>
  <c r="I371" i="1"/>
  <c r="J359" i="1"/>
  <c r="I359" i="1"/>
  <c r="J347" i="1"/>
  <c r="I347" i="1"/>
  <c r="J335" i="1"/>
  <c r="I335" i="1"/>
  <c r="J323" i="1"/>
  <c r="I323" i="1"/>
  <c r="J311" i="1"/>
  <c r="I311" i="1"/>
  <c r="J299" i="1"/>
  <c r="I299" i="1"/>
  <c r="J287" i="1"/>
  <c r="I287" i="1"/>
  <c r="J275" i="1"/>
  <c r="I275" i="1"/>
  <c r="J263" i="1"/>
  <c r="I263" i="1"/>
  <c r="J251" i="1"/>
  <c r="I251" i="1"/>
  <c r="J239" i="1"/>
  <c r="I239" i="1"/>
  <c r="J215" i="1"/>
  <c r="I215" i="1"/>
  <c r="J191" i="1"/>
  <c r="I191" i="1"/>
  <c r="J167" i="1"/>
  <c r="I167" i="1"/>
  <c r="J155" i="1"/>
  <c r="I155" i="1"/>
  <c r="J143" i="1"/>
  <c r="I143" i="1"/>
  <c r="J131" i="1"/>
  <c r="I131" i="1"/>
  <c r="J119" i="1"/>
  <c r="I119" i="1"/>
  <c r="J107" i="1"/>
  <c r="I107" i="1"/>
  <c r="J83" i="1"/>
  <c r="I83" i="1"/>
  <c r="J71" i="1"/>
  <c r="I71" i="1"/>
  <c r="J59" i="1"/>
  <c r="I59" i="1"/>
  <c r="J47" i="1"/>
  <c r="I47" i="1"/>
  <c r="J35" i="1"/>
  <c r="I35" i="1"/>
  <c r="J23" i="1"/>
  <c r="I23" i="1"/>
  <c r="J11" i="1"/>
  <c r="I11" i="1"/>
  <c r="J394" i="1"/>
  <c r="I394" i="1"/>
  <c r="J382" i="1"/>
  <c r="I382" i="1"/>
  <c r="J370" i="1"/>
  <c r="I370" i="1"/>
  <c r="J346" i="1"/>
  <c r="I346" i="1"/>
  <c r="J334" i="1"/>
  <c r="I334" i="1"/>
  <c r="J322" i="1"/>
  <c r="I322" i="1"/>
  <c r="J310" i="1"/>
  <c r="I310" i="1"/>
  <c r="J298" i="1"/>
  <c r="I298" i="1"/>
  <c r="J286" i="1"/>
  <c r="I286" i="1"/>
  <c r="J274" i="1"/>
  <c r="I274" i="1"/>
  <c r="J262" i="1"/>
  <c r="I262" i="1"/>
  <c r="J250" i="1"/>
  <c r="I250" i="1"/>
  <c r="J238" i="1"/>
  <c r="I238" i="1"/>
  <c r="J226" i="1"/>
  <c r="I226" i="1"/>
  <c r="J214" i="1"/>
  <c r="I214" i="1"/>
  <c r="J202" i="1"/>
  <c r="I202" i="1"/>
  <c r="J190" i="1"/>
  <c r="I190" i="1"/>
  <c r="J178" i="1"/>
  <c r="I178" i="1"/>
  <c r="J166" i="1"/>
  <c r="I166" i="1"/>
  <c r="J154" i="1"/>
  <c r="I154" i="1"/>
  <c r="J142" i="1"/>
  <c r="I142" i="1"/>
  <c r="J130" i="1"/>
  <c r="I130" i="1"/>
  <c r="J118" i="1"/>
  <c r="I118" i="1"/>
  <c r="J106" i="1"/>
  <c r="I106" i="1"/>
  <c r="J94" i="1"/>
  <c r="I94" i="1"/>
  <c r="J82" i="1"/>
  <c r="I82" i="1"/>
  <c r="J70" i="1"/>
  <c r="I70" i="1"/>
  <c r="J58" i="1"/>
  <c r="I58" i="1"/>
  <c r="J46" i="1"/>
  <c r="I46" i="1"/>
  <c r="J34" i="1"/>
  <c r="I34" i="1"/>
  <c r="J22" i="1"/>
  <c r="I22" i="1"/>
  <c r="J10" i="1"/>
  <c r="I10" i="1"/>
  <c r="J393" i="1"/>
  <c r="I393" i="1"/>
  <c r="J369" i="1"/>
  <c r="I369" i="1"/>
  <c r="J345" i="1"/>
  <c r="I345" i="1"/>
  <c r="J321" i="1"/>
  <c r="I321" i="1"/>
  <c r="J297" i="1"/>
  <c r="I297" i="1"/>
  <c r="J261" i="1"/>
  <c r="I261" i="1"/>
  <c r="J237" i="1"/>
  <c r="I237" i="1"/>
  <c r="J225" i="1"/>
  <c r="I225" i="1"/>
  <c r="J201" i="1"/>
  <c r="I201" i="1"/>
  <c r="J177" i="1"/>
  <c r="I177" i="1"/>
  <c r="J153" i="1"/>
  <c r="I153" i="1"/>
  <c r="J129" i="1"/>
  <c r="I129" i="1"/>
  <c r="J105" i="1"/>
  <c r="I105" i="1"/>
  <c r="J81" i="1"/>
  <c r="I81" i="1"/>
  <c r="J45" i="1"/>
  <c r="I45" i="1"/>
  <c r="J21" i="1"/>
  <c r="I21" i="1"/>
  <c r="J344" i="1"/>
  <c r="I344" i="1"/>
  <c r="J320" i="1"/>
  <c r="I320" i="1"/>
  <c r="J296" i="1"/>
  <c r="I296" i="1"/>
  <c r="J260" i="1"/>
  <c r="I260" i="1"/>
  <c r="J236" i="1"/>
  <c r="I236" i="1"/>
  <c r="J212" i="1"/>
  <c r="I212" i="1"/>
  <c r="J188" i="1"/>
  <c r="I188" i="1"/>
  <c r="J164" i="1"/>
  <c r="I164" i="1"/>
  <c r="J140" i="1"/>
  <c r="I140" i="1"/>
  <c r="J116" i="1"/>
  <c r="I116" i="1"/>
  <c r="J92" i="1"/>
  <c r="I92" i="1"/>
  <c r="J68" i="1"/>
  <c r="I68" i="1"/>
  <c r="J44" i="1"/>
  <c r="I44" i="1"/>
  <c r="J389" i="1"/>
  <c r="I389" i="1"/>
  <c r="J365" i="1"/>
  <c r="I365" i="1"/>
  <c r="J329" i="1"/>
  <c r="I329" i="1"/>
  <c r="J317" i="1"/>
  <c r="I317" i="1"/>
  <c r="J293" i="1"/>
  <c r="I293" i="1"/>
  <c r="J281" i="1"/>
  <c r="I281" i="1"/>
  <c r="J257" i="1"/>
  <c r="I257" i="1"/>
  <c r="J233" i="1"/>
  <c r="I233" i="1"/>
  <c r="J209" i="1"/>
  <c r="I209" i="1"/>
  <c r="J185" i="1"/>
  <c r="I185" i="1"/>
  <c r="J149" i="1"/>
  <c r="I149" i="1"/>
  <c r="J125" i="1"/>
  <c r="I125" i="1"/>
  <c r="J101" i="1"/>
  <c r="I101" i="1"/>
  <c r="J65" i="1"/>
  <c r="I65" i="1"/>
  <c r="J41" i="1"/>
  <c r="I41" i="1"/>
  <c r="J5" i="1"/>
  <c r="I5" i="1"/>
  <c r="J398" i="1"/>
  <c r="I398" i="1"/>
  <c r="J386" i="1"/>
  <c r="I386" i="1"/>
  <c r="J374" i="1"/>
  <c r="I374" i="1"/>
  <c r="J362" i="1"/>
  <c r="I362" i="1"/>
  <c r="J350" i="1"/>
  <c r="I350" i="1"/>
  <c r="J338" i="1"/>
  <c r="I338" i="1"/>
  <c r="J326" i="1"/>
  <c r="I326" i="1"/>
  <c r="J314" i="1"/>
  <c r="I314" i="1"/>
  <c r="J302" i="1"/>
  <c r="I302" i="1"/>
  <c r="J290" i="1"/>
  <c r="I290" i="1"/>
  <c r="J278" i="1"/>
  <c r="I278" i="1"/>
  <c r="J266" i="1"/>
  <c r="I266" i="1"/>
  <c r="J254" i="1"/>
  <c r="I254" i="1"/>
  <c r="J242" i="1"/>
  <c r="I242" i="1"/>
  <c r="J230" i="1"/>
  <c r="I230" i="1"/>
  <c r="J218" i="1"/>
  <c r="I218" i="1"/>
  <c r="J206" i="1"/>
  <c r="I206" i="1"/>
  <c r="J194" i="1"/>
  <c r="I194" i="1"/>
  <c r="J182" i="1"/>
  <c r="I182" i="1"/>
  <c r="J170" i="1"/>
  <c r="I170" i="1"/>
  <c r="J158" i="1"/>
  <c r="I158" i="1"/>
  <c r="J146" i="1"/>
  <c r="I146" i="1"/>
  <c r="J134" i="1"/>
  <c r="I134" i="1"/>
  <c r="J122" i="1"/>
  <c r="I122" i="1"/>
  <c r="J110" i="1"/>
  <c r="I110" i="1"/>
  <c r="J98" i="1"/>
  <c r="I98" i="1"/>
  <c r="J86" i="1"/>
  <c r="I86" i="1"/>
  <c r="J74" i="1"/>
  <c r="I74" i="1"/>
  <c r="J62" i="1"/>
  <c r="I62" i="1"/>
  <c r="J50" i="1"/>
  <c r="I50" i="1"/>
  <c r="J38" i="1"/>
  <c r="I38" i="1"/>
  <c r="J26" i="1"/>
  <c r="I26" i="1"/>
  <c r="J14" i="1"/>
  <c r="I14" i="1"/>
  <c r="J2" i="1"/>
  <c r="I2" i="1"/>
  <c r="H386" i="1"/>
  <c r="M386" i="1" s="1"/>
  <c r="H362" i="1"/>
  <c r="M362" i="1" s="1"/>
  <c r="H302" i="1"/>
  <c r="M302" i="1" s="1"/>
  <c r="H278" i="1"/>
  <c r="M278" i="1" s="1"/>
  <c r="H254" i="1"/>
  <c r="M254" i="1" s="1"/>
  <c r="H218" i="1"/>
  <c r="M218" i="1" s="1"/>
  <c r="H182" i="1"/>
  <c r="M182" i="1" s="1"/>
  <c r="H146" i="1"/>
  <c r="M146" i="1" s="1"/>
  <c r="H110" i="1"/>
  <c r="M110" i="1" s="1"/>
  <c r="H74" i="1"/>
  <c r="M74" i="1" s="1"/>
  <c r="H38" i="1"/>
  <c r="M38" i="1" s="1"/>
  <c r="H2" i="1"/>
  <c r="M2" i="1" s="1"/>
  <c r="H385" i="1"/>
  <c r="M385" i="1" s="1"/>
  <c r="H349" i="1"/>
  <c r="M349" i="1" s="1"/>
  <c r="H313" i="1"/>
  <c r="M313" i="1" s="1"/>
  <c r="H289" i="1"/>
  <c r="M289" i="1" s="1"/>
  <c r="H265" i="1"/>
  <c r="M265" i="1" s="1"/>
  <c r="H253" i="1"/>
  <c r="M253" i="1" s="1"/>
  <c r="H229" i="1"/>
  <c r="M229" i="1" s="1"/>
  <c r="H193" i="1"/>
  <c r="M193" i="1" s="1"/>
  <c r="H169" i="1"/>
  <c r="M169" i="1" s="1"/>
  <c r="H145" i="1"/>
  <c r="M145" i="1" s="1"/>
  <c r="H85" i="1"/>
  <c r="M85" i="1" s="1"/>
  <c r="H49" i="1"/>
  <c r="M49" i="1" s="1"/>
  <c r="H13" i="1"/>
  <c r="M13" i="1" s="1"/>
  <c r="H384" i="1"/>
  <c r="M384" i="1" s="1"/>
  <c r="H360" i="1"/>
  <c r="M360" i="1" s="1"/>
  <c r="H312" i="1"/>
  <c r="M312" i="1" s="1"/>
  <c r="H288" i="1"/>
  <c r="M288" i="1" s="1"/>
  <c r="H228" i="1"/>
  <c r="M228" i="1" s="1"/>
  <c r="H192" i="1"/>
  <c r="M192" i="1" s="1"/>
  <c r="H156" i="1"/>
  <c r="M156" i="1" s="1"/>
  <c r="H120" i="1"/>
  <c r="M120" i="1" s="1"/>
  <c r="H84" i="1"/>
  <c r="M84" i="1" s="1"/>
  <c r="H60" i="1"/>
  <c r="M60" i="1" s="1"/>
  <c r="H24" i="1"/>
  <c r="M24" i="1" s="1"/>
  <c r="H395" i="1"/>
  <c r="M395" i="1" s="1"/>
  <c r="H383" i="1"/>
  <c r="M383" i="1" s="1"/>
  <c r="H359" i="1"/>
  <c r="M359" i="1" s="1"/>
  <c r="H335" i="1"/>
  <c r="M335" i="1" s="1"/>
  <c r="H323" i="1"/>
  <c r="M323" i="1" s="1"/>
  <c r="H311" i="1"/>
  <c r="M311" i="1" s="1"/>
  <c r="H287" i="1"/>
  <c r="M287" i="1" s="1"/>
  <c r="H275" i="1"/>
  <c r="M275" i="1" s="1"/>
  <c r="H239" i="1"/>
  <c r="M239" i="1" s="1"/>
  <c r="H179" i="1"/>
  <c r="M179" i="1" s="1"/>
  <c r="H143" i="1"/>
  <c r="M143" i="1" s="1"/>
  <c r="H107" i="1"/>
  <c r="M107" i="1" s="1"/>
  <c r="H71" i="1"/>
  <c r="M71" i="1" s="1"/>
  <c r="H47" i="1"/>
  <c r="M47" i="1" s="1"/>
  <c r="H11" i="1"/>
  <c r="M11" i="1" s="1"/>
  <c r="H382" i="1"/>
  <c r="M382" i="1" s="1"/>
  <c r="H358" i="1"/>
  <c r="M358" i="1" s="1"/>
  <c r="H334" i="1"/>
  <c r="M334" i="1" s="1"/>
  <c r="H310" i="1"/>
  <c r="M310" i="1" s="1"/>
  <c r="H286" i="1"/>
  <c r="M286" i="1" s="1"/>
  <c r="H262" i="1"/>
  <c r="M262" i="1" s="1"/>
  <c r="H250" i="1"/>
  <c r="M250" i="1" s="1"/>
  <c r="H214" i="1"/>
  <c r="M214" i="1" s="1"/>
  <c r="H190" i="1"/>
  <c r="M190" i="1" s="1"/>
  <c r="H166" i="1"/>
  <c r="M166" i="1" s="1"/>
  <c r="H142" i="1"/>
  <c r="M142" i="1" s="1"/>
  <c r="H118" i="1"/>
  <c r="M118" i="1" s="1"/>
  <c r="H94" i="1"/>
  <c r="M94" i="1" s="1"/>
  <c r="H58" i="1"/>
  <c r="M58" i="1" s="1"/>
  <c r="H34" i="1"/>
  <c r="M34" i="1" s="1"/>
  <c r="H10" i="1"/>
  <c r="M10" i="1" s="1"/>
  <c r="H393" i="1"/>
  <c r="M393" i="1" s="1"/>
  <c r="H357" i="1"/>
  <c r="M357" i="1" s="1"/>
  <c r="H333" i="1"/>
  <c r="M333" i="1" s="1"/>
  <c r="H309" i="1"/>
  <c r="M309" i="1" s="1"/>
  <c r="H285" i="1"/>
  <c r="M285" i="1" s="1"/>
  <c r="H261" i="1"/>
  <c r="M261" i="1" s="1"/>
  <c r="H237" i="1"/>
  <c r="M237" i="1" s="1"/>
  <c r="H213" i="1"/>
  <c r="M213" i="1" s="1"/>
  <c r="H189" i="1"/>
  <c r="M189" i="1" s="1"/>
  <c r="H177" i="1"/>
  <c r="M177" i="1" s="1"/>
  <c r="H153" i="1"/>
  <c r="M153" i="1" s="1"/>
  <c r="H129" i="1"/>
  <c r="M129" i="1" s="1"/>
  <c r="H105" i="1"/>
  <c r="M105" i="1" s="1"/>
  <c r="H69" i="1"/>
  <c r="M69" i="1" s="1"/>
  <c r="H45" i="1"/>
  <c r="M45" i="1" s="1"/>
  <c r="H9" i="1"/>
  <c r="M9" i="1" s="1"/>
  <c r="H374" i="1"/>
  <c r="M374" i="1" s="1"/>
  <c r="H338" i="1"/>
  <c r="M338" i="1" s="1"/>
  <c r="H314" i="1"/>
  <c r="M314" i="1" s="1"/>
  <c r="H266" i="1"/>
  <c r="M266" i="1" s="1"/>
  <c r="H230" i="1"/>
  <c r="M230" i="1" s="1"/>
  <c r="H194" i="1"/>
  <c r="M194" i="1" s="1"/>
  <c r="H170" i="1"/>
  <c r="M170" i="1" s="1"/>
  <c r="H122" i="1"/>
  <c r="M122" i="1" s="1"/>
  <c r="H98" i="1"/>
  <c r="M98" i="1" s="1"/>
  <c r="H50" i="1"/>
  <c r="M50" i="1" s="1"/>
  <c r="H26" i="1"/>
  <c r="M26" i="1" s="1"/>
  <c r="H373" i="1"/>
  <c r="M373" i="1" s="1"/>
  <c r="H337" i="1"/>
  <c r="M337" i="1" s="1"/>
  <c r="H301" i="1"/>
  <c r="M301" i="1" s="1"/>
  <c r="H277" i="1"/>
  <c r="M277" i="1" s="1"/>
  <c r="H241" i="1"/>
  <c r="M241" i="1" s="1"/>
  <c r="H217" i="1"/>
  <c r="M217" i="1" s="1"/>
  <c r="H205" i="1"/>
  <c r="M205" i="1" s="1"/>
  <c r="H181" i="1"/>
  <c r="M181" i="1" s="1"/>
  <c r="H121" i="1"/>
  <c r="M121" i="1" s="1"/>
  <c r="H97" i="1"/>
  <c r="M97" i="1" s="1"/>
  <c r="H61" i="1"/>
  <c r="M61" i="1" s="1"/>
  <c r="H25" i="1"/>
  <c r="M25" i="1" s="1"/>
  <c r="H372" i="1"/>
  <c r="M372" i="1" s="1"/>
  <c r="H348" i="1"/>
  <c r="M348" i="1" s="1"/>
  <c r="H324" i="1"/>
  <c r="M324" i="1" s="1"/>
  <c r="H264" i="1"/>
  <c r="M264" i="1" s="1"/>
  <c r="H240" i="1"/>
  <c r="M240" i="1" s="1"/>
  <c r="H204" i="1"/>
  <c r="M204" i="1" s="1"/>
  <c r="H168" i="1"/>
  <c r="M168" i="1" s="1"/>
  <c r="H132" i="1"/>
  <c r="M132" i="1" s="1"/>
  <c r="H96" i="1"/>
  <c r="M96" i="1" s="1"/>
  <c r="H48" i="1"/>
  <c r="M48" i="1" s="1"/>
  <c r="H12" i="1"/>
  <c r="M12" i="1" s="1"/>
  <c r="H371" i="1"/>
  <c r="M371" i="1" s="1"/>
  <c r="H347" i="1"/>
  <c r="M347" i="1" s="1"/>
  <c r="H263" i="1"/>
  <c r="M263" i="1" s="1"/>
  <c r="H215" i="1"/>
  <c r="M215" i="1" s="1"/>
  <c r="H191" i="1"/>
  <c r="M191" i="1" s="1"/>
  <c r="H155" i="1"/>
  <c r="M155" i="1" s="1"/>
  <c r="H131" i="1"/>
  <c r="M131" i="1" s="1"/>
  <c r="H95" i="1"/>
  <c r="M95" i="1" s="1"/>
  <c r="H59" i="1"/>
  <c r="M59" i="1" s="1"/>
  <c r="H23" i="1"/>
  <c r="M23" i="1" s="1"/>
  <c r="H394" i="1"/>
  <c r="M394" i="1" s="1"/>
  <c r="H370" i="1"/>
  <c r="M370" i="1" s="1"/>
  <c r="H346" i="1"/>
  <c r="M346" i="1" s="1"/>
  <c r="H322" i="1"/>
  <c r="M322" i="1" s="1"/>
  <c r="H298" i="1"/>
  <c r="M298" i="1" s="1"/>
  <c r="H274" i="1"/>
  <c r="M274" i="1" s="1"/>
  <c r="H238" i="1"/>
  <c r="M238" i="1" s="1"/>
  <c r="H226" i="1"/>
  <c r="M226" i="1" s="1"/>
  <c r="H202" i="1"/>
  <c r="M202" i="1" s="1"/>
  <c r="H178" i="1"/>
  <c r="M178" i="1" s="1"/>
  <c r="H154" i="1"/>
  <c r="M154" i="1" s="1"/>
  <c r="H130" i="1"/>
  <c r="M130" i="1" s="1"/>
  <c r="H106" i="1"/>
  <c r="M106" i="1" s="1"/>
  <c r="H82" i="1"/>
  <c r="M82" i="1" s="1"/>
  <c r="H70" i="1"/>
  <c r="M70" i="1" s="1"/>
  <c r="H46" i="1"/>
  <c r="M46" i="1" s="1"/>
  <c r="H22" i="1"/>
  <c r="M22" i="1" s="1"/>
  <c r="H381" i="1"/>
  <c r="M381" i="1" s="1"/>
  <c r="H369" i="1"/>
  <c r="M369" i="1" s="1"/>
  <c r="H345" i="1"/>
  <c r="M345" i="1" s="1"/>
  <c r="H321" i="1"/>
  <c r="M321" i="1" s="1"/>
  <c r="H297" i="1"/>
  <c r="M297" i="1" s="1"/>
  <c r="H273" i="1"/>
  <c r="M273" i="1" s="1"/>
  <c r="H249" i="1"/>
  <c r="M249" i="1" s="1"/>
  <c r="H225" i="1"/>
  <c r="M225" i="1" s="1"/>
  <c r="H201" i="1"/>
  <c r="M201" i="1" s="1"/>
  <c r="H165" i="1"/>
  <c r="M165" i="1" s="1"/>
  <c r="H141" i="1"/>
  <c r="M141" i="1" s="1"/>
  <c r="H117" i="1"/>
  <c r="M117" i="1" s="1"/>
  <c r="H93" i="1"/>
  <c r="M93" i="1" s="1"/>
  <c r="H81" i="1"/>
  <c r="M81" i="1" s="1"/>
  <c r="H57" i="1"/>
  <c r="M57" i="1" s="1"/>
  <c r="H33" i="1"/>
  <c r="M33" i="1" s="1"/>
  <c r="H21" i="1"/>
  <c r="M21" i="1" s="1"/>
  <c r="H392" i="1"/>
  <c r="M392" i="1" s="1"/>
  <c r="H368" i="1"/>
  <c r="M368" i="1" s="1"/>
  <c r="H344" i="1"/>
  <c r="M344" i="1" s="1"/>
  <c r="H320" i="1"/>
  <c r="M320" i="1" s="1"/>
  <c r="H296" i="1"/>
  <c r="M296" i="1" s="1"/>
  <c r="H272" i="1"/>
  <c r="M272" i="1" s="1"/>
  <c r="H248" i="1"/>
  <c r="M248" i="1" s="1"/>
  <c r="H224" i="1"/>
  <c r="M224" i="1" s="1"/>
  <c r="H200" i="1"/>
  <c r="M200" i="1" s="1"/>
  <c r="H176" i="1"/>
  <c r="M176" i="1" s="1"/>
  <c r="H152" i="1"/>
  <c r="M152" i="1" s="1"/>
  <c r="H116" i="1"/>
  <c r="M116" i="1" s="1"/>
  <c r="H92" i="1"/>
  <c r="M92" i="1" s="1"/>
  <c r="H80" i="1"/>
  <c r="M80" i="1" s="1"/>
  <c r="H56" i="1"/>
  <c r="M56" i="1" s="1"/>
  <c r="H44" i="1"/>
  <c r="M44" i="1" s="1"/>
  <c r="H20" i="1"/>
  <c r="M20" i="1" s="1"/>
  <c r="H391" i="1"/>
  <c r="M391" i="1" s="1"/>
  <c r="H379" i="1"/>
  <c r="M379" i="1" s="1"/>
  <c r="H367" i="1"/>
  <c r="M367" i="1" s="1"/>
  <c r="H355" i="1"/>
  <c r="M355" i="1" s="1"/>
  <c r="H343" i="1"/>
  <c r="M343" i="1" s="1"/>
  <c r="H331" i="1"/>
  <c r="M331" i="1" s="1"/>
  <c r="H319" i="1"/>
  <c r="M319" i="1" s="1"/>
  <c r="H307" i="1"/>
  <c r="M307" i="1" s="1"/>
  <c r="H295" i="1"/>
  <c r="M295" i="1" s="1"/>
  <c r="H283" i="1"/>
  <c r="M283" i="1" s="1"/>
  <c r="H271" i="1"/>
  <c r="M271" i="1" s="1"/>
  <c r="H259" i="1"/>
  <c r="M259" i="1" s="1"/>
  <c r="H247" i="1"/>
  <c r="M247" i="1" s="1"/>
  <c r="H235" i="1"/>
  <c r="M235" i="1" s="1"/>
  <c r="H223" i="1"/>
  <c r="M223" i="1" s="1"/>
  <c r="H211" i="1"/>
  <c r="M211" i="1" s="1"/>
  <c r="H199" i="1"/>
  <c r="M199" i="1" s="1"/>
  <c r="H187" i="1"/>
  <c r="M187" i="1" s="1"/>
  <c r="H175" i="1"/>
  <c r="M175" i="1" s="1"/>
  <c r="H163" i="1"/>
  <c r="M163" i="1" s="1"/>
  <c r="H151" i="1"/>
  <c r="M151" i="1" s="1"/>
  <c r="H139" i="1"/>
  <c r="M139" i="1" s="1"/>
  <c r="H127" i="1"/>
  <c r="M127" i="1" s="1"/>
  <c r="H115" i="1"/>
  <c r="M115" i="1" s="1"/>
  <c r="H103" i="1"/>
  <c r="M103" i="1" s="1"/>
  <c r="H91" i="1"/>
  <c r="M91" i="1" s="1"/>
  <c r="H79" i="1"/>
  <c r="M79" i="1" s="1"/>
  <c r="H67" i="1"/>
  <c r="M67" i="1" s="1"/>
  <c r="H55" i="1"/>
  <c r="M55" i="1" s="1"/>
  <c r="H43" i="1"/>
  <c r="M43" i="1" s="1"/>
  <c r="H31" i="1"/>
  <c r="M31" i="1" s="1"/>
  <c r="H19" i="1"/>
  <c r="M19" i="1" s="1"/>
  <c r="H7" i="1"/>
  <c r="M7" i="1" s="1"/>
  <c r="H390" i="1"/>
  <c r="M390" i="1" s="1"/>
  <c r="H378" i="1"/>
  <c r="M378" i="1" s="1"/>
  <c r="H366" i="1"/>
  <c r="M366" i="1" s="1"/>
  <c r="H354" i="1"/>
  <c r="M354" i="1" s="1"/>
  <c r="H342" i="1"/>
  <c r="M342" i="1" s="1"/>
  <c r="H330" i="1"/>
  <c r="M330" i="1" s="1"/>
  <c r="H318" i="1"/>
  <c r="M318" i="1" s="1"/>
  <c r="H306" i="1"/>
  <c r="M306" i="1" s="1"/>
  <c r="H294" i="1"/>
  <c r="M294" i="1" s="1"/>
  <c r="H282" i="1"/>
  <c r="M282" i="1" s="1"/>
  <c r="H270" i="1"/>
  <c r="M270" i="1" s="1"/>
  <c r="H258" i="1"/>
  <c r="M258" i="1" s="1"/>
  <c r="H246" i="1"/>
  <c r="M246" i="1" s="1"/>
  <c r="H234" i="1"/>
  <c r="M234" i="1" s="1"/>
  <c r="H222" i="1"/>
  <c r="M222" i="1" s="1"/>
  <c r="H210" i="1"/>
  <c r="M210" i="1" s="1"/>
  <c r="H198" i="1"/>
  <c r="M198" i="1" s="1"/>
  <c r="H186" i="1"/>
  <c r="M186" i="1" s="1"/>
  <c r="H174" i="1"/>
  <c r="M174" i="1" s="1"/>
  <c r="H162" i="1"/>
  <c r="M162" i="1" s="1"/>
  <c r="H150" i="1"/>
  <c r="M150" i="1" s="1"/>
  <c r="H138" i="1"/>
  <c r="M138" i="1" s="1"/>
  <c r="H126" i="1"/>
  <c r="M126" i="1" s="1"/>
  <c r="H114" i="1"/>
  <c r="M114" i="1" s="1"/>
  <c r="H102" i="1"/>
  <c r="M102" i="1" s="1"/>
  <c r="H90" i="1"/>
  <c r="M90" i="1" s="1"/>
  <c r="H78" i="1"/>
  <c r="M78" i="1" s="1"/>
  <c r="H66" i="1"/>
  <c r="M66" i="1" s="1"/>
  <c r="H54" i="1"/>
  <c r="M54" i="1" s="1"/>
  <c r="H42" i="1"/>
  <c r="M42" i="1" s="1"/>
  <c r="H30" i="1"/>
  <c r="M30" i="1" s="1"/>
  <c r="H18" i="1"/>
  <c r="M18" i="1" s="1"/>
  <c r="H6" i="1"/>
  <c r="M6" i="1" s="1"/>
  <c r="H401" i="1"/>
  <c r="M401" i="1" s="1"/>
  <c r="H389" i="1"/>
  <c r="M389" i="1" s="1"/>
  <c r="H377" i="1"/>
  <c r="M377" i="1" s="1"/>
  <c r="H365" i="1"/>
  <c r="M365" i="1" s="1"/>
  <c r="H353" i="1"/>
  <c r="M353" i="1" s="1"/>
  <c r="H341" i="1"/>
  <c r="M341" i="1" s="1"/>
  <c r="H329" i="1"/>
  <c r="M329" i="1" s="1"/>
  <c r="H317" i="1"/>
  <c r="M317" i="1" s="1"/>
  <c r="H305" i="1"/>
  <c r="M305" i="1" s="1"/>
  <c r="H293" i="1"/>
  <c r="M293" i="1" s="1"/>
  <c r="H281" i="1"/>
  <c r="M281" i="1" s="1"/>
  <c r="H269" i="1"/>
  <c r="M269" i="1" s="1"/>
  <c r="H257" i="1"/>
  <c r="M257" i="1" s="1"/>
  <c r="H245" i="1"/>
  <c r="M245" i="1" s="1"/>
  <c r="H233" i="1"/>
  <c r="M233" i="1" s="1"/>
  <c r="H221" i="1"/>
  <c r="M221" i="1" s="1"/>
  <c r="H209" i="1"/>
  <c r="M209" i="1" s="1"/>
  <c r="H197" i="1"/>
  <c r="M197" i="1" s="1"/>
  <c r="H185" i="1"/>
  <c r="M185" i="1" s="1"/>
  <c r="H173" i="1"/>
  <c r="M173" i="1" s="1"/>
  <c r="H161" i="1"/>
  <c r="M161" i="1" s="1"/>
  <c r="H149" i="1"/>
  <c r="M149" i="1" s="1"/>
  <c r="H137" i="1"/>
  <c r="M137" i="1" s="1"/>
  <c r="H125" i="1"/>
  <c r="M125" i="1" s="1"/>
  <c r="H113" i="1"/>
  <c r="M113" i="1" s="1"/>
  <c r="H101" i="1"/>
  <c r="M101" i="1" s="1"/>
  <c r="H89" i="1"/>
  <c r="M89" i="1" s="1"/>
  <c r="H77" i="1"/>
  <c r="M77" i="1" s="1"/>
  <c r="H65" i="1"/>
  <c r="M65" i="1" s="1"/>
  <c r="H53" i="1"/>
  <c r="M53" i="1" s="1"/>
  <c r="H41" i="1"/>
  <c r="M41" i="1" s="1"/>
  <c r="H29" i="1"/>
  <c r="M29" i="1" s="1"/>
  <c r="H17" i="1"/>
  <c r="M17" i="1" s="1"/>
  <c r="H5" i="1"/>
  <c r="M5" i="1" s="1"/>
  <c r="H400" i="1"/>
  <c r="M400" i="1" s="1"/>
  <c r="H388" i="1"/>
  <c r="M388" i="1" s="1"/>
  <c r="H376" i="1"/>
  <c r="M376" i="1" s="1"/>
  <c r="H364" i="1"/>
  <c r="M364" i="1" s="1"/>
  <c r="H352" i="1"/>
  <c r="M352" i="1" s="1"/>
  <c r="H340" i="1"/>
  <c r="M340" i="1" s="1"/>
  <c r="H328" i="1"/>
  <c r="M328" i="1" s="1"/>
  <c r="H316" i="1"/>
  <c r="M316" i="1" s="1"/>
  <c r="H304" i="1"/>
  <c r="M304" i="1" s="1"/>
  <c r="H292" i="1"/>
  <c r="M292" i="1" s="1"/>
  <c r="H280" i="1"/>
  <c r="M280" i="1" s="1"/>
  <c r="H268" i="1"/>
  <c r="M268" i="1" s="1"/>
  <c r="H256" i="1"/>
  <c r="M256" i="1" s="1"/>
  <c r="H244" i="1"/>
  <c r="M244" i="1" s="1"/>
  <c r="H232" i="1"/>
  <c r="M232" i="1" s="1"/>
  <c r="H220" i="1"/>
  <c r="M220" i="1" s="1"/>
  <c r="H208" i="1"/>
  <c r="M208" i="1" s="1"/>
  <c r="H196" i="1"/>
  <c r="M196" i="1" s="1"/>
  <c r="H184" i="1"/>
  <c r="M184" i="1" s="1"/>
  <c r="H172" i="1"/>
  <c r="M172" i="1" s="1"/>
  <c r="H160" i="1"/>
  <c r="M160" i="1" s="1"/>
  <c r="H148" i="1"/>
  <c r="M148" i="1" s="1"/>
  <c r="H136" i="1"/>
  <c r="M136" i="1" s="1"/>
  <c r="H124" i="1"/>
  <c r="M124" i="1" s="1"/>
  <c r="H112" i="1"/>
  <c r="M112" i="1" s="1"/>
  <c r="H100" i="1"/>
  <c r="M100" i="1" s="1"/>
  <c r="H88" i="1"/>
  <c r="M88" i="1" s="1"/>
  <c r="H76" i="1"/>
  <c r="M76" i="1" s="1"/>
  <c r="H64" i="1"/>
  <c r="M64" i="1" s="1"/>
  <c r="H52" i="1"/>
  <c r="M52" i="1" s="1"/>
  <c r="H40" i="1"/>
  <c r="M40" i="1" s="1"/>
  <c r="H28" i="1"/>
  <c r="M28" i="1" s="1"/>
  <c r="H16" i="1"/>
  <c r="M16" i="1" s="1"/>
  <c r="H4" i="1"/>
  <c r="M4" i="1" s="1"/>
  <c r="H398" i="1"/>
  <c r="M398" i="1" s="1"/>
  <c r="H350" i="1"/>
  <c r="M350" i="1" s="1"/>
  <c r="H326" i="1"/>
  <c r="M326" i="1" s="1"/>
  <c r="H290" i="1"/>
  <c r="M290" i="1" s="1"/>
  <c r="H242" i="1"/>
  <c r="M242" i="1" s="1"/>
  <c r="H206" i="1"/>
  <c r="M206" i="1" s="1"/>
  <c r="H158" i="1"/>
  <c r="M158" i="1" s="1"/>
  <c r="H134" i="1"/>
  <c r="M134" i="1" s="1"/>
  <c r="H86" i="1"/>
  <c r="M86" i="1" s="1"/>
  <c r="H62" i="1"/>
  <c r="M62" i="1" s="1"/>
  <c r="H14" i="1"/>
  <c r="M14" i="1" s="1"/>
  <c r="H397" i="1"/>
  <c r="M397" i="1" s="1"/>
  <c r="H361" i="1"/>
  <c r="M361" i="1" s="1"/>
  <c r="H325" i="1"/>
  <c r="M325" i="1" s="1"/>
  <c r="H157" i="1"/>
  <c r="M157" i="1" s="1"/>
  <c r="H133" i="1"/>
  <c r="M133" i="1" s="1"/>
  <c r="H109" i="1"/>
  <c r="M109" i="1" s="1"/>
  <c r="H73" i="1"/>
  <c r="M73" i="1" s="1"/>
  <c r="H37" i="1"/>
  <c r="M37" i="1" s="1"/>
  <c r="H396" i="1"/>
  <c r="M396" i="1" s="1"/>
  <c r="H336" i="1"/>
  <c r="M336" i="1" s="1"/>
  <c r="H300" i="1"/>
  <c r="M300" i="1" s="1"/>
  <c r="H276" i="1"/>
  <c r="M276" i="1" s="1"/>
  <c r="H252" i="1"/>
  <c r="M252" i="1" s="1"/>
  <c r="H216" i="1"/>
  <c r="M216" i="1" s="1"/>
  <c r="H180" i="1"/>
  <c r="M180" i="1" s="1"/>
  <c r="H144" i="1"/>
  <c r="M144" i="1" s="1"/>
  <c r="H108" i="1"/>
  <c r="M108" i="1" s="1"/>
  <c r="H72" i="1"/>
  <c r="M72" i="1" s="1"/>
  <c r="H36" i="1"/>
  <c r="M36" i="1" s="1"/>
  <c r="H299" i="1"/>
  <c r="M299" i="1" s="1"/>
  <c r="H251" i="1"/>
  <c r="M251" i="1" s="1"/>
  <c r="H227" i="1"/>
  <c r="M227" i="1" s="1"/>
  <c r="H203" i="1"/>
  <c r="M203" i="1" s="1"/>
  <c r="H167" i="1"/>
  <c r="M167" i="1" s="1"/>
  <c r="H119" i="1"/>
  <c r="M119" i="1" s="1"/>
  <c r="H83" i="1"/>
  <c r="M83" i="1" s="1"/>
  <c r="H35" i="1"/>
  <c r="M35" i="1" s="1"/>
  <c r="H380" i="1"/>
  <c r="M380" i="1" s="1"/>
  <c r="H356" i="1"/>
  <c r="M356" i="1" s="1"/>
  <c r="H332" i="1"/>
  <c r="M332" i="1" s="1"/>
  <c r="H308" i="1"/>
  <c r="M308" i="1" s="1"/>
  <c r="H284" i="1"/>
  <c r="M284" i="1" s="1"/>
  <c r="H260" i="1"/>
  <c r="M260" i="1" s="1"/>
  <c r="H236" i="1"/>
  <c r="M236" i="1" s="1"/>
  <c r="H212" i="1"/>
  <c r="M212" i="1" s="1"/>
  <c r="H188" i="1"/>
  <c r="M188" i="1" s="1"/>
  <c r="H164" i="1"/>
  <c r="M164" i="1" s="1"/>
  <c r="H140" i="1"/>
  <c r="M140" i="1" s="1"/>
  <c r="H128" i="1"/>
  <c r="M128" i="1" s="1"/>
  <c r="H104" i="1"/>
  <c r="M104" i="1" s="1"/>
  <c r="H68" i="1"/>
  <c r="M68" i="1" s="1"/>
  <c r="H32" i="1"/>
  <c r="M32" i="1" s="1"/>
  <c r="H8" i="1"/>
  <c r="M8" i="1" s="1"/>
  <c r="H399" i="1"/>
  <c r="M399" i="1" s="1"/>
  <c r="H387" i="1"/>
  <c r="M387" i="1" s="1"/>
  <c r="H375" i="1"/>
  <c r="M375" i="1" s="1"/>
  <c r="H363" i="1"/>
  <c r="M363" i="1" s="1"/>
  <c r="H351" i="1"/>
  <c r="M351" i="1" s="1"/>
  <c r="H339" i="1"/>
  <c r="M339" i="1" s="1"/>
  <c r="H327" i="1"/>
  <c r="M327" i="1" s="1"/>
  <c r="H315" i="1"/>
  <c r="M315" i="1" s="1"/>
  <c r="H303" i="1"/>
  <c r="M303" i="1" s="1"/>
  <c r="H291" i="1"/>
  <c r="M291" i="1" s="1"/>
  <c r="H279" i="1"/>
  <c r="M279" i="1" s="1"/>
  <c r="H267" i="1"/>
  <c r="M267" i="1" s="1"/>
  <c r="H255" i="1"/>
  <c r="M255" i="1" s="1"/>
  <c r="H243" i="1"/>
  <c r="M243" i="1" s="1"/>
  <c r="H231" i="1"/>
  <c r="M231" i="1" s="1"/>
  <c r="H219" i="1"/>
  <c r="M219" i="1" s="1"/>
  <c r="H207" i="1"/>
  <c r="M207" i="1" s="1"/>
  <c r="H195" i="1"/>
  <c r="M195" i="1" s="1"/>
  <c r="H183" i="1"/>
  <c r="M183" i="1" s="1"/>
  <c r="H171" i="1"/>
  <c r="M171" i="1" s="1"/>
  <c r="H159" i="1"/>
  <c r="M159" i="1" s="1"/>
  <c r="H147" i="1"/>
  <c r="M147" i="1" s="1"/>
  <c r="H135" i="1"/>
  <c r="M135" i="1" s="1"/>
  <c r="H123" i="1"/>
  <c r="M123" i="1" s="1"/>
  <c r="H111" i="1"/>
  <c r="M111" i="1" s="1"/>
  <c r="H99" i="1"/>
  <c r="M99" i="1" s="1"/>
  <c r="H87" i="1"/>
  <c r="M87" i="1" s="1"/>
  <c r="H75" i="1"/>
  <c r="M75" i="1" s="1"/>
  <c r="H63" i="1"/>
  <c r="M63" i="1" s="1"/>
  <c r="H51" i="1"/>
  <c r="M51" i="1" s="1"/>
  <c r="H39" i="1"/>
  <c r="M39" i="1" s="1"/>
  <c r="H27" i="1"/>
  <c r="M27" i="1" s="1"/>
  <c r="H15" i="1"/>
  <c r="M15" i="1" s="1"/>
  <c r="H3" i="1"/>
  <c r="M3" i="1" s="1"/>
  <c r="K351" i="1" l="1"/>
  <c r="L351" i="1"/>
  <c r="L16" i="1"/>
  <c r="K16" i="1"/>
  <c r="N16" i="1" s="1"/>
  <c r="L88" i="1"/>
  <c r="K88" i="1"/>
  <c r="L160" i="1"/>
  <c r="K160" i="1"/>
  <c r="N160" i="1" s="1"/>
  <c r="L232" i="1"/>
  <c r="K232" i="1"/>
  <c r="N232" i="1" s="1"/>
  <c r="L304" i="1"/>
  <c r="K304" i="1"/>
  <c r="L376" i="1"/>
  <c r="K376" i="1"/>
  <c r="L77" i="1"/>
  <c r="K77" i="1"/>
  <c r="N77" i="1" s="1"/>
  <c r="L197" i="1"/>
  <c r="K197" i="1"/>
  <c r="L353" i="1"/>
  <c r="K353" i="1"/>
  <c r="N353" i="1" s="1"/>
  <c r="L128" i="1"/>
  <c r="K128" i="1"/>
  <c r="N128" i="1" s="1"/>
  <c r="L272" i="1"/>
  <c r="K272" i="1"/>
  <c r="N272" i="1" s="1"/>
  <c r="L380" i="1"/>
  <c r="K380" i="1"/>
  <c r="K93" i="1"/>
  <c r="L93" i="1"/>
  <c r="L249" i="1"/>
  <c r="K249" i="1"/>
  <c r="K381" i="1"/>
  <c r="L381" i="1"/>
  <c r="K12" i="1"/>
  <c r="L12" i="1"/>
  <c r="K108" i="1"/>
  <c r="L108" i="1"/>
  <c r="K252" i="1"/>
  <c r="L252" i="1"/>
  <c r="K25" i="1"/>
  <c r="L25" i="1"/>
  <c r="K253" i="1"/>
  <c r="L253" i="1"/>
  <c r="L6" i="1"/>
  <c r="K6" i="1"/>
  <c r="N6" i="1" s="1"/>
  <c r="L78" i="1"/>
  <c r="K78" i="1"/>
  <c r="L150" i="1"/>
  <c r="K150" i="1"/>
  <c r="N150" i="1" s="1"/>
  <c r="L222" i="1"/>
  <c r="K222" i="1"/>
  <c r="L294" i="1"/>
  <c r="K294" i="1"/>
  <c r="N294" i="1" s="1"/>
  <c r="L366" i="1"/>
  <c r="K366" i="1"/>
  <c r="L43" i="1"/>
  <c r="K43" i="1"/>
  <c r="N43" i="1" s="1"/>
  <c r="L115" i="1"/>
  <c r="K115" i="1"/>
  <c r="N115" i="1" s="1"/>
  <c r="L187" i="1"/>
  <c r="K187" i="1"/>
  <c r="N187" i="1" s="1"/>
  <c r="L259" i="1"/>
  <c r="K259" i="1"/>
  <c r="L331" i="1"/>
  <c r="K331" i="1"/>
  <c r="N331" i="1" s="1"/>
  <c r="L8" i="1"/>
  <c r="K8" i="1"/>
  <c r="L122" i="1"/>
  <c r="K122" i="1"/>
  <c r="N122" i="1" s="1"/>
  <c r="L266" i="1"/>
  <c r="K266" i="1"/>
  <c r="N266" i="1" s="1"/>
  <c r="L5" i="1"/>
  <c r="K5" i="1"/>
  <c r="N5" i="1" s="1"/>
  <c r="L317" i="1"/>
  <c r="K317" i="1"/>
  <c r="K236" i="1"/>
  <c r="L236" i="1"/>
  <c r="L345" i="1"/>
  <c r="K345" i="1"/>
  <c r="K190" i="1"/>
  <c r="L190" i="1"/>
  <c r="K23" i="1"/>
  <c r="L23" i="1"/>
  <c r="K287" i="1"/>
  <c r="L287" i="1"/>
  <c r="K264" i="1"/>
  <c r="L264" i="1"/>
  <c r="K85" i="1"/>
  <c r="L85" i="1"/>
  <c r="K337" i="1"/>
  <c r="L337" i="1"/>
  <c r="L171" i="1"/>
  <c r="K171" i="1"/>
  <c r="N171" i="1" s="1"/>
  <c r="L387" i="1"/>
  <c r="K387" i="1"/>
  <c r="N387" i="1" s="1"/>
  <c r="L124" i="1"/>
  <c r="K124" i="1"/>
  <c r="N124" i="1" s="1"/>
  <c r="L340" i="1"/>
  <c r="K340" i="1"/>
  <c r="L200" i="1"/>
  <c r="K200" i="1"/>
  <c r="N200" i="1" s="1"/>
  <c r="L33" i="1"/>
  <c r="K33" i="1"/>
  <c r="K179" i="1"/>
  <c r="L179" i="1"/>
  <c r="K336" i="1"/>
  <c r="L336" i="1"/>
  <c r="L114" i="1"/>
  <c r="K114" i="1"/>
  <c r="N114" i="1" s="1"/>
  <c r="L7" i="1"/>
  <c r="K7" i="1"/>
  <c r="L151" i="1"/>
  <c r="K151" i="1"/>
  <c r="N151" i="1" s="1"/>
  <c r="L295" i="1"/>
  <c r="K295" i="1"/>
  <c r="L62" i="1"/>
  <c r="K62" i="1"/>
  <c r="N62" i="1" s="1"/>
  <c r="L278" i="1"/>
  <c r="K278" i="1"/>
  <c r="N278" i="1" s="1"/>
  <c r="L209" i="1"/>
  <c r="K209" i="1"/>
  <c r="N209" i="1" s="1"/>
  <c r="L225" i="1"/>
  <c r="K225" i="1"/>
  <c r="K130" i="1"/>
  <c r="L130" i="1"/>
  <c r="K119" i="1"/>
  <c r="L119" i="1"/>
  <c r="K144" i="1"/>
  <c r="L144" i="1"/>
  <c r="K109" i="1"/>
  <c r="L109" i="1"/>
  <c r="L39" i="1"/>
  <c r="K39" i="1"/>
  <c r="N39" i="1" s="1"/>
  <c r="L255" i="1"/>
  <c r="K255" i="1"/>
  <c r="L64" i="1"/>
  <c r="K64" i="1"/>
  <c r="N64" i="1" s="1"/>
  <c r="L280" i="1"/>
  <c r="K280" i="1"/>
  <c r="L161" i="1"/>
  <c r="K161" i="1"/>
  <c r="N161" i="1" s="1"/>
  <c r="L305" i="1"/>
  <c r="K305" i="1"/>
  <c r="N305" i="1" s="1"/>
  <c r="L189" i="1"/>
  <c r="K189" i="1"/>
  <c r="N189" i="1" s="1"/>
  <c r="K72" i="1"/>
  <c r="L72" i="1"/>
  <c r="K360" i="1"/>
  <c r="L360" i="1"/>
  <c r="L198" i="1"/>
  <c r="K198" i="1"/>
  <c r="L342" i="1"/>
  <c r="K342" i="1"/>
  <c r="N342" i="1" s="1"/>
  <c r="L91" i="1"/>
  <c r="K91" i="1"/>
  <c r="N91" i="1" s="1"/>
  <c r="L307" i="1"/>
  <c r="K307" i="1"/>
  <c r="N307" i="1" s="1"/>
  <c r="L74" i="1"/>
  <c r="K74" i="1"/>
  <c r="L218" i="1"/>
  <c r="K218" i="1"/>
  <c r="N218" i="1" s="1"/>
  <c r="L362" i="1"/>
  <c r="K362" i="1"/>
  <c r="L233" i="1"/>
  <c r="K233" i="1"/>
  <c r="N233" i="1" s="1"/>
  <c r="K140" i="1"/>
  <c r="L140" i="1"/>
  <c r="L296" i="1"/>
  <c r="K296" i="1"/>
  <c r="N296" i="1" s="1"/>
  <c r="L237" i="1"/>
  <c r="K237" i="1"/>
  <c r="K70" i="1"/>
  <c r="L70" i="1"/>
  <c r="K286" i="1"/>
  <c r="L286" i="1"/>
  <c r="K131" i="1"/>
  <c r="L131" i="1"/>
  <c r="K168" i="1"/>
  <c r="L168" i="1"/>
  <c r="K121" i="1"/>
  <c r="L121" i="1"/>
  <c r="L51" i="1"/>
  <c r="K51" i="1"/>
  <c r="L267" i="1"/>
  <c r="K267" i="1"/>
  <c r="N267" i="1" s="1"/>
  <c r="L148" i="1"/>
  <c r="K148" i="1"/>
  <c r="L220" i="1"/>
  <c r="K220" i="1"/>
  <c r="N220" i="1" s="1"/>
  <c r="L104" i="1"/>
  <c r="K104" i="1"/>
  <c r="N104" i="1" s="1"/>
  <c r="K69" i="1"/>
  <c r="L69" i="1"/>
  <c r="K84" i="1"/>
  <c r="L84" i="1"/>
  <c r="K228" i="1"/>
  <c r="L228" i="1"/>
  <c r="K385" i="1"/>
  <c r="L385" i="1"/>
  <c r="L210" i="1"/>
  <c r="K210" i="1"/>
  <c r="N210" i="1" s="1"/>
  <c r="L31" i="1"/>
  <c r="K31" i="1"/>
  <c r="N31" i="1" s="1"/>
  <c r="L175" i="1"/>
  <c r="K175" i="1"/>
  <c r="N175" i="1" s="1"/>
  <c r="L247" i="1"/>
  <c r="K247" i="1"/>
  <c r="L14" i="1"/>
  <c r="K14" i="1"/>
  <c r="N14" i="1" s="1"/>
  <c r="L158" i="1"/>
  <c r="K158" i="1"/>
  <c r="L302" i="1"/>
  <c r="K302" i="1"/>
  <c r="N302" i="1" s="1"/>
  <c r="L257" i="1"/>
  <c r="K257" i="1"/>
  <c r="N257" i="1" s="1"/>
  <c r="L389" i="1"/>
  <c r="K389" i="1"/>
  <c r="L129" i="1"/>
  <c r="K129" i="1"/>
  <c r="K82" i="1"/>
  <c r="L82" i="1"/>
  <c r="K298" i="1"/>
  <c r="L298" i="1"/>
  <c r="K59" i="1"/>
  <c r="L59" i="1"/>
  <c r="K323" i="1"/>
  <c r="L323" i="1"/>
  <c r="K395" i="1"/>
  <c r="L395" i="1"/>
  <c r="K49" i="1"/>
  <c r="L49" i="1"/>
  <c r="K265" i="1"/>
  <c r="L265" i="1"/>
  <c r="K135" i="1"/>
  <c r="L135" i="1"/>
  <c r="K279" i="1"/>
  <c r="L279" i="1"/>
  <c r="L26" i="1"/>
  <c r="K26" i="1"/>
  <c r="N26" i="1" s="1"/>
  <c r="L170" i="1"/>
  <c r="K170" i="1"/>
  <c r="N170" i="1" s="1"/>
  <c r="L314" i="1"/>
  <c r="K314" i="1"/>
  <c r="L125" i="1"/>
  <c r="K125" i="1"/>
  <c r="N125" i="1" s="1"/>
  <c r="L44" i="1"/>
  <c r="K44" i="1"/>
  <c r="L153" i="1"/>
  <c r="K153" i="1"/>
  <c r="N153" i="1" s="1"/>
  <c r="K22" i="1"/>
  <c r="L22" i="1"/>
  <c r="K166" i="1"/>
  <c r="L166" i="1"/>
  <c r="K310" i="1"/>
  <c r="L310" i="1"/>
  <c r="K155" i="1"/>
  <c r="L155" i="1"/>
  <c r="K263" i="1"/>
  <c r="L263" i="1"/>
  <c r="K36" i="1"/>
  <c r="L36" i="1"/>
  <c r="K348" i="1"/>
  <c r="L348" i="1"/>
  <c r="K157" i="1"/>
  <c r="L157" i="1"/>
  <c r="K289" i="1"/>
  <c r="L289" i="1"/>
  <c r="L147" i="1"/>
  <c r="K147" i="1"/>
  <c r="N147" i="1" s="1"/>
  <c r="L291" i="1"/>
  <c r="K291" i="1"/>
  <c r="L28" i="1"/>
  <c r="K28" i="1"/>
  <c r="N28" i="1" s="1"/>
  <c r="L172" i="1"/>
  <c r="K172" i="1"/>
  <c r="N172" i="1" s="1"/>
  <c r="L244" i="1"/>
  <c r="K244" i="1"/>
  <c r="N244" i="1" s="1"/>
  <c r="L388" i="1"/>
  <c r="K388" i="1"/>
  <c r="L221" i="1"/>
  <c r="K221" i="1"/>
  <c r="N221" i="1" s="1"/>
  <c r="L152" i="1"/>
  <c r="K152" i="1"/>
  <c r="L392" i="1"/>
  <c r="K392" i="1"/>
  <c r="N392" i="1" s="1"/>
  <c r="L273" i="1"/>
  <c r="K273" i="1"/>
  <c r="N273" i="1" s="1"/>
  <c r="K24" i="1"/>
  <c r="L24" i="1"/>
  <c r="K276" i="1"/>
  <c r="L276" i="1"/>
  <c r="L18" i="1"/>
  <c r="K18" i="1"/>
  <c r="N18" i="1" s="1"/>
  <c r="L162" i="1"/>
  <c r="K162" i="1"/>
  <c r="L378" i="1"/>
  <c r="K378" i="1"/>
  <c r="N378" i="1" s="1"/>
  <c r="L127" i="1"/>
  <c r="K127" i="1"/>
  <c r="N127" i="1" s="1"/>
  <c r="K20" i="1"/>
  <c r="L20" i="1"/>
  <c r="L50" i="1"/>
  <c r="K50" i="1"/>
  <c r="L194" i="1"/>
  <c r="K194" i="1"/>
  <c r="N194" i="1" s="1"/>
  <c r="L338" i="1"/>
  <c r="K338" i="1"/>
  <c r="L185" i="1"/>
  <c r="K185" i="1"/>
  <c r="N185" i="1" s="1"/>
  <c r="K92" i="1"/>
  <c r="L92" i="1"/>
  <c r="L201" i="1"/>
  <c r="K201" i="1"/>
  <c r="N201" i="1" s="1"/>
  <c r="K46" i="1"/>
  <c r="L46" i="1"/>
  <c r="K334" i="1"/>
  <c r="L334" i="1"/>
  <c r="K191" i="1"/>
  <c r="L191" i="1"/>
  <c r="K359" i="1"/>
  <c r="L359" i="1"/>
  <c r="K205" i="1"/>
  <c r="L205" i="1"/>
  <c r="L99" i="1"/>
  <c r="K99" i="1"/>
  <c r="N99" i="1" s="1"/>
  <c r="L243" i="1"/>
  <c r="K243" i="1"/>
  <c r="L196" i="1"/>
  <c r="K196" i="1"/>
  <c r="N196" i="1" s="1"/>
  <c r="L137" i="1"/>
  <c r="K137" i="1"/>
  <c r="L56" i="1"/>
  <c r="K56" i="1"/>
  <c r="N56" i="1" s="1"/>
  <c r="K165" i="1"/>
  <c r="L165" i="1"/>
  <c r="K60" i="1"/>
  <c r="L60" i="1"/>
  <c r="K169" i="1"/>
  <c r="L169" i="1"/>
  <c r="L186" i="1"/>
  <c r="K186" i="1"/>
  <c r="N186" i="1" s="1"/>
  <c r="L258" i="1"/>
  <c r="K258" i="1"/>
  <c r="L79" i="1"/>
  <c r="K79" i="1"/>
  <c r="N79" i="1" s="1"/>
  <c r="L367" i="1"/>
  <c r="K367" i="1"/>
  <c r="N367" i="1" s="1"/>
  <c r="L134" i="1"/>
  <c r="K134" i="1"/>
  <c r="N134" i="1" s="1"/>
  <c r="L41" i="1"/>
  <c r="K41" i="1"/>
  <c r="L329" i="1"/>
  <c r="K329" i="1"/>
  <c r="N329" i="1" s="1"/>
  <c r="L81" i="1"/>
  <c r="K81" i="1"/>
  <c r="K58" i="1"/>
  <c r="L58" i="1"/>
  <c r="K202" i="1"/>
  <c r="L202" i="1"/>
  <c r="K35" i="1"/>
  <c r="L35" i="1"/>
  <c r="K299" i="1"/>
  <c r="L299" i="1"/>
  <c r="K371" i="1"/>
  <c r="L371" i="1"/>
  <c r="K13" i="1"/>
  <c r="L13" i="1"/>
  <c r="K349" i="1"/>
  <c r="L349" i="1"/>
  <c r="L183" i="1"/>
  <c r="K183" i="1"/>
  <c r="N183" i="1" s="1"/>
  <c r="L399" i="1"/>
  <c r="K399" i="1"/>
  <c r="N399" i="1" s="1"/>
  <c r="L208" i="1"/>
  <c r="K208" i="1"/>
  <c r="L29" i="1"/>
  <c r="K29" i="1"/>
  <c r="N29" i="1" s="1"/>
  <c r="L224" i="1"/>
  <c r="K224" i="1"/>
  <c r="L57" i="1"/>
  <c r="K57" i="1"/>
  <c r="N57" i="1" s="1"/>
  <c r="K203" i="1"/>
  <c r="L203" i="1"/>
  <c r="K193" i="1"/>
  <c r="L193" i="1"/>
  <c r="L54" i="1"/>
  <c r="K54" i="1"/>
  <c r="L19" i="1"/>
  <c r="K19" i="1"/>
  <c r="N19" i="1" s="1"/>
  <c r="L163" i="1"/>
  <c r="K163" i="1"/>
  <c r="L379" i="1"/>
  <c r="K379" i="1"/>
  <c r="N379" i="1" s="1"/>
  <c r="L2" i="1"/>
  <c r="K2" i="1"/>
  <c r="N2" i="1" s="1"/>
  <c r="L146" i="1"/>
  <c r="K146" i="1"/>
  <c r="N146" i="1" s="1"/>
  <c r="L290" i="1"/>
  <c r="K290" i="1"/>
  <c r="L65" i="1"/>
  <c r="K65" i="1"/>
  <c r="N65" i="1" s="1"/>
  <c r="L365" i="1"/>
  <c r="K365" i="1"/>
  <c r="L105" i="1"/>
  <c r="K105" i="1"/>
  <c r="N105" i="1" s="1"/>
  <c r="L393" i="1"/>
  <c r="K393" i="1"/>
  <c r="N393" i="1" s="1"/>
  <c r="K142" i="1"/>
  <c r="L142" i="1"/>
  <c r="K47" i="1"/>
  <c r="L47" i="1"/>
  <c r="K383" i="1"/>
  <c r="L383" i="1"/>
  <c r="K300" i="1"/>
  <c r="L300" i="1"/>
  <c r="K373" i="1"/>
  <c r="L373" i="1"/>
  <c r="L195" i="1"/>
  <c r="K195" i="1"/>
  <c r="N195" i="1" s="1"/>
  <c r="L4" i="1"/>
  <c r="K4" i="1"/>
  <c r="N4" i="1" s="1"/>
  <c r="L292" i="1"/>
  <c r="K292" i="1"/>
  <c r="L53" i="1"/>
  <c r="K53" i="1"/>
  <c r="N53" i="1" s="1"/>
  <c r="L341" i="1"/>
  <c r="K341" i="1"/>
  <c r="N341" i="1" s="1"/>
  <c r="L248" i="1"/>
  <c r="K248" i="1"/>
  <c r="N248" i="1" s="1"/>
  <c r="K357" i="1"/>
  <c r="L357" i="1"/>
  <c r="K384" i="1"/>
  <c r="L384" i="1"/>
  <c r="L138" i="1"/>
  <c r="K138" i="1"/>
  <c r="L354" i="1"/>
  <c r="K354" i="1"/>
  <c r="N354" i="1" s="1"/>
  <c r="L103" i="1"/>
  <c r="K103" i="1"/>
  <c r="N103" i="1" s="1"/>
  <c r="L391" i="1"/>
  <c r="K391" i="1"/>
  <c r="N391" i="1" s="1"/>
  <c r="L230" i="1"/>
  <c r="K230" i="1"/>
  <c r="N230" i="1" s="1"/>
  <c r="L374" i="1"/>
  <c r="K374" i="1"/>
  <c r="N374" i="1" s="1"/>
  <c r="L320" i="1"/>
  <c r="K320" i="1"/>
  <c r="K261" i="1"/>
  <c r="L261" i="1"/>
  <c r="K226" i="1"/>
  <c r="L226" i="1"/>
  <c r="K143" i="1"/>
  <c r="L143" i="1"/>
  <c r="K192" i="1"/>
  <c r="L192" i="1"/>
  <c r="K145" i="1"/>
  <c r="L145" i="1"/>
  <c r="L63" i="1"/>
  <c r="K63" i="1"/>
  <c r="L207" i="1"/>
  <c r="K207" i="1"/>
  <c r="N207" i="1" s="1"/>
  <c r="L98" i="1"/>
  <c r="K98" i="1"/>
  <c r="N98" i="1" s="1"/>
  <c r="L242" i="1"/>
  <c r="K242" i="1"/>
  <c r="N242" i="1" s="1"/>
  <c r="L386" i="1"/>
  <c r="K386" i="1"/>
  <c r="N386" i="1" s="1"/>
  <c r="L281" i="1"/>
  <c r="K281" i="1"/>
  <c r="N281" i="1" s="1"/>
  <c r="K188" i="1"/>
  <c r="L188" i="1"/>
  <c r="L344" i="1"/>
  <c r="K344" i="1"/>
  <c r="N344" i="1" s="1"/>
  <c r="L297" i="1"/>
  <c r="K297" i="1"/>
  <c r="N297" i="1" s="1"/>
  <c r="K94" i="1"/>
  <c r="L94" i="1"/>
  <c r="K238" i="1"/>
  <c r="L238" i="1"/>
  <c r="K394" i="1"/>
  <c r="L394" i="1"/>
  <c r="K71" i="1"/>
  <c r="L71" i="1"/>
  <c r="K335" i="1"/>
  <c r="L335" i="1"/>
  <c r="K216" i="1"/>
  <c r="L216" i="1"/>
  <c r="K61" i="1"/>
  <c r="L61" i="1"/>
  <c r="L3" i="1"/>
  <c r="K3" i="1"/>
  <c r="N3" i="1" s="1"/>
  <c r="L75" i="1"/>
  <c r="K75" i="1"/>
  <c r="N75" i="1" s="1"/>
  <c r="K219" i="1"/>
  <c r="L219" i="1"/>
  <c r="L363" i="1"/>
  <c r="K363" i="1"/>
  <c r="L100" i="1"/>
  <c r="K100" i="1"/>
  <c r="N100" i="1" s="1"/>
  <c r="L316" i="1"/>
  <c r="K316" i="1"/>
  <c r="N316" i="1" s="1"/>
  <c r="L89" i="1"/>
  <c r="K89" i="1"/>
  <c r="N89" i="1" s="1"/>
  <c r="L377" i="1"/>
  <c r="K377" i="1"/>
  <c r="N377" i="1" s="1"/>
  <c r="K284" i="1"/>
  <c r="L284" i="1"/>
  <c r="L117" i="1"/>
  <c r="K117" i="1"/>
  <c r="K358" i="1"/>
  <c r="L358" i="1"/>
  <c r="K132" i="1"/>
  <c r="L132" i="1"/>
  <c r="K97" i="1"/>
  <c r="L97" i="1"/>
  <c r="K277" i="1"/>
  <c r="L277" i="1"/>
  <c r="L90" i="1"/>
  <c r="K90" i="1"/>
  <c r="L234" i="1"/>
  <c r="K234" i="1"/>
  <c r="L306" i="1"/>
  <c r="K306" i="1"/>
  <c r="N306" i="1" s="1"/>
  <c r="L55" i="1"/>
  <c r="K55" i="1"/>
  <c r="N55" i="1" s="1"/>
  <c r="L199" i="1"/>
  <c r="K199" i="1"/>
  <c r="N199" i="1" s="1"/>
  <c r="L343" i="1"/>
  <c r="K343" i="1"/>
  <c r="N343" i="1" s="1"/>
  <c r="L38" i="1"/>
  <c r="K38" i="1"/>
  <c r="L110" i="1"/>
  <c r="K110" i="1"/>
  <c r="L182" i="1"/>
  <c r="K182" i="1"/>
  <c r="N182" i="1" s="1"/>
  <c r="L254" i="1"/>
  <c r="K254" i="1"/>
  <c r="N254" i="1" s="1"/>
  <c r="L326" i="1"/>
  <c r="K326" i="1"/>
  <c r="N326" i="1" s="1"/>
  <c r="L398" i="1"/>
  <c r="K398" i="1"/>
  <c r="N398" i="1" s="1"/>
  <c r="L149" i="1"/>
  <c r="K149" i="1"/>
  <c r="L293" i="1"/>
  <c r="K293" i="1"/>
  <c r="K68" i="1"/>
  <c r="L68" i="1"/>
  <c r="K212" i="1"/>
  <c r="L212" i="1"/>
  <c r="L21" i="1"/>
  <c r="K21" i="1"/>
  <c r="N21" i="1" s="1"/>
  <c r="L177" i="1"/>
  <c r="K177" i="1"/>
  <c r="N177" i="1" s="1"/>
  <c r="L321" i="1"/>
  <c r="K321" i="1"/>
  <c r="K34" i="1"/>
  <c r="L34" i="1"/>
  <c r="K106" i="1"/>
  <c r="L106" i="1"/>
  <c r="K178" i="1"/>
  <c r="L178" i="1"/>
  <c r="K250" i="1"/>
  <c r="L250" i="1"/>
  <c r="K322" i="1"/>
  <c r="L322" i="1"/>
  <c r="K11" i="1"/>
  <c r="L11" i="1"/>
  <c r="K83" i="1"/>
  <c r="L83" i="1"/>
  <c r="K167" i="1"/>
  <c r="L167" i="1"/>
  <c r="K275" i="1"/>
  <c r="L275" i="1"/>
  <c r="K347" i="1"/>
  <c r="L347" i="1"/>
  <c r="K96" i="1"/>
  <c r="L96" i="1"/>
  <c r="K240" i="1"/>
  <c r="L240" i="1"/>
  <c r="K372" i="1"/>
  <c r="L372" i="1"/>
  <c r="K73" i="1"/>
  <c r="L73" i="1"/>
  <c r="K181" i="1"/>
  <c r="L181" i="1"/>
  <c r="K313" i="1"/>
  <c r="L313" i="1"/>
  <c r="L15" i="1"/>
  <c r="K15" i="1"/>
  <c r="N15" i="1" s="1"/>
  <c r="K87" i="1"/>
  <c r="L87" i="1"/>
  <c r="L159" i="1"/>
  <c r="K159" i="1"/>
  <c r="L231" i="1"/>
  <c r="K231" i="1"/>
  <c r="N231" i="1" s="1"/>
  <c r="L303" i="1"/>
  <c r="K303" i="1"/>
  <c r="N303" i="1" s="1"/>
  <c r="L375" i="1"/>
  <c r="K375" i="1"/>
  <c r="N375" i="1" s="1"/>
  <c r="L40" i="1"/>
  <c r="K40" i="1"/>
  <c r="N40" i="1" s="1"/>
  <c r="L112" i="1"/>
  <c r="K112" i="1"/>
  <c r="L184" i="1"/>
  <c r="K184" i="1"/>
  <c r="L256" i="1"/>
  <c r="K256" i="1"/>
  <c r="N256" i="1" s="1"/>
  <c r="L328" i="1"/>
  <c r="K328" i="1"/>
  <c r="N328" i="1" s="1"/>
  <c r="L400" i="1"/>
  <c r="K400" i="1"/>
  <c r="L113" i="1"/>
  <c r="K113" i="1"/>
  <c r="N113" i="1" s="1"/>
  <c r="L245" i="1"/>
  <c r="K245" i="1"/>
  <c r="L401" i="1"/>
  <c r="K401" i="1"/>
  <c r="L176" i="1"/>
  <c r="K176" i="1"/>
  <c r="N176" i="1" s="1"/>
  <c r="L308" i="1"/>
  <c r="K308" i="1"/>
  <c r="N308" i="1" s="1"/>
  <c r="L9" i="1"/>
  <c r="K9" i="1"/>
  <c r="N9" i="1" s="1"/>
  <c r="K141" i="1"/>
  <c r="L141" i="1"/>
  <c r="L285" i="1"/>
  <c r="K285" i="1"/>
  <c r="K95" i="1"/>
  <c r="L95" i="1"/>
  <c r="K48" i="1"/>
  <c r="L48" i="1"/>
  <c r="K156" i="1"/>
  <c r="L156" i="1"/>
  <c r="K312" i="1"/>
  <c r="L312" i="1"/>
  <c r="K133" i="1"/>
  <c r="L133" i="1"/>
  <c r="K301" i="1"/>
  <c r="L301" i="1"/>
  <c r="L30" i="1"/>
  <c r="K30" i="1"/>
  <c r="L102" i="1"/>
  <c r="K102" i="1"/>
  <c r="N102" i="1" s="1"/>
  <c r="L174" i="1"/>
  <c r="K174" i="1"/>
  <c r="N174" i="1" s="1"/>
  <c r="L246" i="1"/>
  <c r="K246" i="1"/>
  <c r="N246" i="1" s="1"/>
  <c r="L318" i="1"/>
  <c r="K318" i="1"/>
  <c r="N318" i="1" s="1"/>
  <c r="L390" i="1"/>
  <c r="K390" i="1"/>
  <c r="L67" i="1"/>
  <c r="K67" i="1"/>
  <c r="L139" i="1"/>
  <c r="K139" i="1"/>
  <c r="N139" i="1" s="1"/>
  <c r="L211" i="1"/>
  <c r="K211" i="1"/>
  <c r="N211" i="1" s="1"/>
  <c r="L283" i="1"/>
  <c r="K283" i="1"/>
  <c r="N283" i="1" s="1"/>
  <c r="L355" i="1"/>
  <c r="K355" i="1"/>
  <c r="N355" i="1" s="1"/>
  <c r="L32" i="1"/>
  <c r="K32" i="1"/>
  <c r="K45" i="1"/>
  <c r="L45" i="1"/>
  <c r="K118" i="1"/>
  <c r="L118" i="1"/>
  <c r="K262" i="1"/>
  <c r="L262" i="1"/>
  <c r="K107" i="1"/>
  <c r="L107" i="1"/>
  <c r="K120" i="1"/>
  <c r="L120" i="1"/>
  <c r="K396" i="1"/>
  <c r="L396" i="1"/>
  <c r="K27" i="1"/>
  <c r="L27" i="1"/>
  <c r="L315" i="1"/>
  <c r="K315" i="1"/>
  <c r="N315" i="1" s="1"/>
  <c r="L52" i="1"/>
  <c r="K52" i="1"/>
  <c r="N52" i="1" s="1"/>
  <c r="L268" i="1"/>
  <c r="K268" i="1"/>
  <c r="N268" i="1" s="1"/>
  <c r="L17" i="1"/>
  <c r="K17" i="1"/>
  <c r="N17" i="1" s="1"/>
  <c r="L269" i="1"/>
  <c r="K269" i="1"/>
  <c r="K332" i="1"/>
  <c r="L332" i="1"/>
  <c r="L309" i="1"/>
  <c r="K309" i="1"/>
  <c r="N309" i="1" s="1"/>
  <c r="K180" i="1"/>
  <c r="L180" i="1"/>
  <c r="K325" i="1"/>
  <c r="L325" i="1"/>
  <c r="L42" i="1"/>
  <c r="K42" i="1"/>
  <c r="N42" i="1" s="1"/>
  <c r="L330" i="1"/>
  <c r="K330" i="1"/>
  <c r="L223" i="1"/>
  <c r="K223" i="1"/>
  <c r="L206" i="1"/>
  <c r="K206" i="1"/>
  <c r="N206" i="1" s="1"/>
  <c r="L350" i="1"/>
  <c r="K350" i="1"/>
  <c r="N350" i="1" s="1"/>
  <c r="K116" i="1"/>
  <c r="L116" i="1"/>
  <c r="L260" i="1"/>
  <c r="K260" i="1"/>
  <c r="N260" i="1" s="1"/>
  <c r="K369" i="1"/>
  <c r="L369" i="1"/>
  <c r="K274" i="1"/>
  <c r="L274" i="1"/>
  <c r="K346" i="1"/>
  <c r="L346" i="1"/>
  <c r="K215" i="1"/>
  <c r="L215" i="1"/>
  <c r="K288" i="1"/>
  <c r="L288" i="1"/>
  <c r="K229" i="1"/>
  <c r="L229" i="1"/>
  <c r="L111" i="1"/>
  <c r="K111" i="1"/>
  <c r="L327" i="1"/>
  <c r="K327" i="1"/>
  <c r="L136" i="1"/>
  <c r="K136" i="1"/>
  <c r="N136" i="1" s="1"/>
  <c r="L352" i="1"/>
  <c r="K352" i="1"/>
  <c r="N352" i="1" s="1"/>
  <c r="L80" i="1"/>
  <c r="K80" i="1"/>
  <c r="N80" i="1" s="1"/>
  <c r="K356" i="1"/>
  <c r="L356" i="1"/>
  <c r="L333" i="1"/>
  <c r="K333" i="1"/>
  <c r="K204" i="1"/>
  <c r="L204" i="1"/>
  <c r="K361" i="1"/>
  <c r="L361" i="1"/>
  <c r="L126" i="1"/>
  <c r="K126" i="1"/>
  <c r="N126" i="1" s="1"/>
  <c r="L270" i="1"/>
  <c r="K270" i="1"/>
  <c r="N270" i="1" s="1"/>
  <c r="L235" i="1"/>
  <c r="K235" i="1"/>
  <c r="N235" i="1" s="1"/>
  <c r="K214" i="1"/>
  <c r="L214" i="1"/>
  <c r="K370" i="1"/>
  <c r="L370" i="1"/>
  <c r="K239" i="1"/>
  <c r="L239" i="1"/>
  <c r="K311" i="1"/>
  <c r="L311" i="1"/>
  <c r="K37" i="1"/>
  <c r="L37" i="1"/>
  <c r="K241" i="1"/>
  <c r="L241" i="1"/>
  <c r="L123" i="1"/>
  <c r="K123" i="1"/>
  <c r="L339" i="1"/>
  <c r="K339" i="1"/>
  <c r="L76" i="1"/>
  <c r="K76" i="1"/>
  <c r="N76" i="1" s="1"/>
  <c r="L364" i="1"/>
  <c r="K364" i="1"/>
  <c r="N364" i="1" s="1"/>
  <c r="L173" i="1"/>
  <c r="K173" i="1"/>
  <c r="N173" i="1" s="1"/>
  <c r="L368" i="1"/>
  <c r="K368" i="1"/>
  <c r="N368" i="1" s="1"/>
  <c r="L213" i="1"/>
  <c r="K213" i="1"/>
  <c r="K227" i="1"/>
  <c r="L227" i="1"/>
  <c r="K217" i="1"/>
  <c r="L217" i="1"/>
  <c r="L66" i="1"/>
  <c r="K66" i="1"/>
  <c r="N66" i="1" s="1"/>
  <c r="L282" i="1"/>
  <c r="K282" i="1"/>
  <c r="N282" i="1" s="1"/>
  <c r="L319" i="1"/>
  <c r="K319" i="1"/>
  <c r="N319" i="1" s="1"/>
  <c r="L86" i="1"/>
  <c r="K86" i="1"/>
  <c r="L101" i="1"/>
  <c r="K101" i="1"/>
  <c r="L164" i="1"/>
  <c r="K164" i="1"/>
  <c r="N164" i="1" s="1"/>
  <c r="K10" i="1"/>
  <c r="L10" i="1"/>
  <c r="K154" i="1"/>
  <c r="L154" i="1"/>
  <c r="K382" i="1"/>
  <c r="L382" i="1"/>
  <c r="K251" i="1"/>
  <c r="L251" i="1"/>
  <c r="K324" i="1"/>
  <c r="L324" i="1"/>
  <c r="K397" i="1"/>
  <c r="L397" i="1"/>
  <c r="L271" i="1"/>
  <c r="K271" i="1"/>
  <c r="N271" i="1" s="1"/>
  <c r="P42" i="1" l="1"/>
  <c r="Q42" i="1" a="1"/>
  <c r="Q42" i="1" s="1"/>
  <c r="P318" i="1"/>
  <c r="Q318" i="1" a="1"/>
  <c r="Q318" i="1" s="1"/>
  <c r="P40" i="1"/>
  <c r="Q40" i="1" a="1"/>
  <c r="Q40" i="1" s="1"/>
  <c r="P177" i="1"/>
  <c r="Q177" i="1" a="1"/>
  <c r="Q177" i="1" s="1"/>
  <c r="P377" i="1"/>
  <c r="Q377" i="1" a="1"/>
  <c r="Q377" i="1" s="1"/>
  <c r="P374" i="1"/>
  <c r="Q374" i="1" a="1"/>
  <c r="Q374" i="1" s="1"/>
  <c r="P201" i="1"/>
  <c r="Q201" i="1" a="1"/>
  <c r="Q201" i="1" s="1"/>
  <c r="P189" i="1"/>
  <c r="Q189" i="1" a="1"/>
  <c r="Q189" i="1" s="1"/>
  <c r="P124" i="1"/>
  <c r="Q124" i="1" a="1"/>
  <c r="Q124" i="1" s="1"/>
  <c r="P272" i="1"/>
  <c r="Q272" i="1" a="1"/>
  <c r="Q272" i="1" s="1"/>
  <c r="P282" i="1"/>
  <c r="Q282" i="1" a="1"/>
  <c r="Q282" i="1" s="1"/>
  <c r="P270" i="1"/>
  <c r="Q270" i="1" a="1"/>
  <c r="Q270" i="1" s="1"/>
  <c r="P89" i="1"/>
  <c r="Q89" i="1" a="1"/>
  <c r="Q89" i="1" s="1"/>
  <c r="P2" i="1"/>
  <c r="Q2" i="1" a="1"/>
  <c r="Q2" i="1" s="1"/>
  <c r="P367" i="1"/>
  <c r="Q367" i="1" a="1"/>
  <c r="Q367" i="1" s="1"/>
  <c r="P127" i="1"/>
  <c r="Q127" i="1" a="1"/>
  <c r="Q127" i="1" s="1"/>
  <c r="P104" i="1"/>
  <c r="Q104" i="1" a="1"/>
  <c r="Q104" i="1" s="1"/>
  <c r="P305" i="1"/>
  <c r="Q305" i="1" a="1"/>
  <c r="Q305" i="1" s="1"/>
  <c r="P66" i="1"/>
  <c r="Q66" i="1" a="1"/>
  <c r="Q66" i="1" s="1"/>
  <c r="P352" i="1"/>
  <c r="Q352" i="1" a="1"/>
  <c r="Q352" i="1" s="1"/>
  <c r="P52" i="1"/>
  <c r="Q52" i="1" a="1"/>
  <c r="Q52" i="1" s="1"/>
  <c r="P308" i="1"/>
  <c r="Q308" i="1" a="1"/>
  <c r="Q308" i="1" s="1"/>
  <c r="P55" i="1"/>
  <c r="Q55" i="1" a="1"/>
  <c r="Q55" i="1" s="1"/>
  <c r="P105" i="1"/>
  <c r="Q105" i="1" a="1"/>
  <c r="Q105" i="1" s="1"/>
  <c r="P185" i="1"/>
  <c r="Q185" i="1" a="1"/>
  <c r="Q185" i="1" s="1"/>
  <c r="P153" i="1"/>
  <c r="Q153" i="1" a="1"/>
  <c r="Q153" i="1" s="1"/>
  <c r="P210" i="1"/>
  <c r="Q210" i="1" a="1"/>
  <c r="Q210" i="1" s="1"/>
  <c r="P62" i="1"/>
  <c r="Q62" i="1" a="1"/>
  <c r="Q62" i="1" s="1"/>
  <c r="P353" i="1"/>
  <c r="Q353" i="1" a="1"/>
  <c r="Q353" i="1" s="1"/>
  <c r="P76" i="1"/>
  <c r="Q76" i="1" a="1"/>
  <c r="Q76" i="1" s="1"/>
  <c r="P206" i="1"/>
  <c r="Q206" i="1" a="1"/>
  <c r="Q206" i="1" s="1"/>
  <c r="P256" i="1"/>
  <c r="Q256" i="1" a="1"/>
  <c r="Q256" i="1" s="1"/>
  <c r="P297" i="1"/>
  <c r="Q297" i="1" a="1"/>
  <c r="Q297" i="1" s="1"/>
  <c r="P98" i="1"/>
  <c r="Q98" i="1" a="1"/>
  <c r="Q98" i="1" s="1"/>
  <c r="P103" i="1"/>
  <c r="Q103" i="1" a="1"/>
  <c r="Q103" i="1" s="1"/>
  <c r="P341" i="1"/>
  <c r="Q341" i="1" a="1"/>
  <c r="Q341" i="1" s="1"/>
  <c r="P368" i="1"/>
  <c r="Q368" i="1" a="1"/>
  <c r="Q368" i="1" s="1"/>
  <c r="P260" i="1"/>
  <c r="Q260" i="1" a="1"/>
  <c r="Q260" i="1" s="1"/>
  <c r="P113" i="1"/>
  <c r="Q113" i="1" a="1"/>
  <c r="Q113" i="1" s="1"/>
  <c r="P398" i="1"/>
  <c r="Q398" i="1" a="1"/>
  <c r="Q398" i="1" s="1"/>
  <c r="P75" i="1"/>
  <c r="Q75" i="1" a="1"/>
  <c r="Q75" i="1" s="1"/>
  <c r="P146" i="1"/>
  <c r="Q146" i="1" a="1"/>
  <c r="Q146" i="1" s="1"/>
  <c r="P134" i="1"/>
  <c r="Q134" i="1" a="1"/>
  <c r="Q134" i="1" s="1"/>
  <c r="P296" i="1"/>
  <c r="Q296" i="1" a="1"/>
  <c r="Q296" i="1" s="1"/>
  <c r="P209" i="1"/>
  <c r="Q209" i="1" a="1"/>
  <c r="Q209" i="1" s="1"/>
  <c r="P5" i="1"/>
  <c r="Q5" i="1" a="1"/>
  <c r="Q5" i="1" s="1"/>
  <c r="P173" i="1"/>
  <c r="Q173" i="1" a="1"/>
  <c r="Q173" i="1" s="1"/>
  <c r="P283" i="1"/>
  <c r="Q283" i="1" a="1"/>
  <c r="Q283" i="1" s="1"/>
  <c r="P375" i="1"/>
  <c r="Q375" i="1" a="1"/>
  <c r="Q375" i="1" s="1"/>
  <c r="P326" i="1"/>
  <c r="Q326" i="1" a="1"/>
  <c r="Q326" i="1" s="1"/>
  <c r="P3" i="1"/>
  <c r="Q3" i="1" a="1"/>
  <c r="Q3" i="1" s="1"/>
  <c r="P230" i="1"/>
  <c r="Q230" i="1" a="1"/>
  <c r="Q230" i="1" s="1"/>
  <c r="P393" i="1"/>
  <c r="Q393" i="1" a="1"/>
  <c r="Q393" i="1" s="1"/>
  <c r="P183" i="1"/>
  <c r="Q183" i="1" a="1"/>
  <c r="Q183" i="1" s="1"/>
  <c r="P273" i="1"/>
  <c r="Q273" i="1" a="1"/>
  <c r="Q273" i="1" s="1"/>
  <c r="P26" i="1"/>
  <c r="Q26" i="1" a="1"/>
  <c r="Q26" i="1" s="1"/>
  <c r="P257" i="1"/>
  <c r="Q257" i="1" a="1"/>
  <c r="Q257" i="1" s="1"/>
  <c r="P91" i="1"/>
  <c r="Q91" i="1" a="1"/>
  <c r="Q91" i="1" s="1"/>
  <c r="P266" i="1"/>
  <c r="Q266" i="1" a="1"/>
  <c r="Q266" i="1" s="1"/>
  <c r="P271" i="1"/>
  <c r="Q271" i="1" a="1"/>
  <c r="Q271" i="1" s="1"/>
  <c r="P126" i="1"/>
  <c r="Q126" i="1" a="1"/>
  <c r="Q126" i="1" s="1"/>
  <c r="P242" i="1"/>
  <c r="Q242" i="1" a="1"/>
  <c r="Q242" i="1" s="1"/>
  <c r="P79" i="1"/>
  <c r="Q79" i="1" a="1"/>
  <c r="Q79" i="1" s="1"/>
  <c r="P378" i="1"/>
  <c r="Q378" i="1" a="1"/>
  <c r="Q378" i="1" s="1"/>
  <c r="P233" i="1"/>
  <c r="Q233" i="1" a="1"/>
  <c r="Q233" i="1" s="1"/>
  <c r="P122" i="1"/>
  <c r="Q122" i="1" a="1"/>
  <c r="Q122" i="1" s="1"/>
  <c r="P6" i="1"/>
  <c r="Q6" i="1" a="1"/>
  <c r="Q6" i="1" s="1"/>
  <c r="P136" i="1"/>
  <c r="Q136" i="1" a="1"/>
  <c r="Q136" i="1" s="1"/>
  <c r="P315" i="1"/>
  <c r="Q315" i="1" a="1"/>
  <c r="Q315" i="1" s="1"/>
  <c r="P176" i="1"/>
  <c r="Q176" i="1" a="1"/>
  <c r="Q176" i="1" s="1"/>
  <c r="P306" i="1"/>
  <c r="Q306" i="1" a="1"/>
  <c r="Q306" i="1" s="1"/>
  <c r="P207" i="1"/>
  <c r="Q207" i="1" a="1"/>
  <c r="Q207" i="1" s="1"/>
  <c r="P354" i="1"/>
  <c r="Q354" i="1" a="1"/>
  <c r="Q354" i="1" s="1"/>
  <c r="P19" i="1"/>
  <c r="Q19" i="1" a="1"/>
  <c r="Q19" i="1" s="1"/>
  <c r="P186" i="1"/>
  <c r="Q186" i="1" a="1"/>
  <c r="Q186" i="1" s="1"/>
  <c r="P194" i="1"/>
  <c r="Q194" i="1" a="1"/>
  <c r="Q194" i="1" s="1"/>
  <c r="P221" i="1"/>
  <c r="Q221" i="1" a="1"/>
  <c r="Q221" i="1" s="1"/>
  <c r="P267" i="1"/>
  <c r="Q267" i="1" a="1"/>
  <c r="Q267" i="1" s="1"/>
  <c r="P200" i="1"/>
  <c r="Q200" i="1" a="1"/>
  <c r="Q200" i="1" s="1"/>
  <c r="P294" i="1"/>
  <c r="Q294" i="1" a="1"/>
  <c r="Q294" i="1" s="1"/>
  <c r="P77" i="1"/>
  <c r="Q77" i="1" a="1"/>
  <c r="Q77" i="1" s="1"/>
  <c r="P235" i="1"/>
  <c r="Q235" i="1" a="1"/>
  <c r="Q235" i="1" s="1"/>
  <c r="P355" i="1"/>
  <c r="Q355" i="1" a="1"/>
  <c r="Q355" i="1" s="1"/>
  <c r="P343" i="1"/>
  <c r="Q343" i="1" a="1"/>
  <c r="Q343" i="1" s="1"/>
  <c r="P281" i="1"/>
  <c r="Q281" i="1" a="1"/>
  <c r="Q281" i="1" s="1"/>
  <c r="P4" i="1"/>
  <c r="Q4" i="1" a="1"/>
  <c r="Q4" i="1" s="1"/>
  <c r="P99" i="1"/>
  <c r="Q99" i="1" a="1"/>
  <c r="Q99" i="1" s="1"/>
  <c r="P170" i="1"/>
  <c r="Q170" i="1" a="1"/>
  <c r="Q170" i="1" s="1"/>
  <c r="P39" i="1"/>
  <c r="Q39" i="1" a="1"/>
  <c r="Q39" i="1" s="1"/>
  <c r="P150" i="1"/>
  <c r="Q150" i="1" a="1"/>
  <c r="Q150" i="1" s="1"/>
  <c r="P246" i="1"/>
  <c r="Q246" i="1" a="1"/>
  <c r="Q246" i="1" s="1"/>
  <c r="P21" i="1"/>
  <c r="Q21" i="1" a="1"/>
  <c r="Q21" i="1" s="1"/>
  <c r="P386" i="1"/>
  <c r="Q386" i="1" a="1"/>
  <c r="Q386" i="1" s="1"/>
  <c r="P195" i="1"/>
  <c r="Q195" i="1" a="1"/>
  <c r="Q195" i="1" s="1"/>
  <c r="P172" i="1"/>
  <c r="Q172" i="1" a="1"/>
  <c r="Q172" i="1" s="1"/>
  <c r="P31" i="1"/>
  <c r="Q31" i="1" a="1"/>
  <c r="Q31" i="1" s="1"/>
  <c r="P387" i="1"/>
  <c r="Q387" i="1" a="1"/>
  <c r="Q387" i="1" s="1"/>
  <c r="P128" i="1"/>
  <c r="Q128" i="1" a="1"/>
  <c r="Q128" i="1" s="1"/>
  <c r="P364" i="1"/>
  <c r="Q364" i="1" a="1"/>
  <c r="Q364" i="1" s="1"/>
  <c r="P350" i="1"/>
  <c r="Q350" i="1" a="1"/>
  <c r="Q350" i="1" s="1"/>
  <c r="P174" i="1"/>
  <c r="Q174" i="1" a="1"/>
  <c r="Q174" i="1" s="1"/>
  <c r="P303" i="1"/>
  <c r="Q303" i="1" a="1"/>
  <c r="Q303" i="1" s="1"/>
  <c r="P254" i="1"/>
  <c r="Q254" i="1" a="1"/>
  <c r="Q254" i="1" s="1"/>
  <c r="P248" i="1"/>
  <c r="Q248" i="1" a="1"/>
  <c r="Q248" i="1" s="1"/>
  <c r="P379" i="1"/>
  <c r="Q379" i="1" a="1"/>
  <c r="Q379" i="1" s="1"/>
  <c r="P28" i="1"/>
  <c r="Q28" i="1" a="1"/>
  <c r="Q28" i="1" s="1"/>
  <c r="P302" i="1"/>
  <c r="Q302" i="1" a="1"/>
  <c r="Q302" i="1" s="1"/>
  <c r="P342" i="1"/>
  <c r="Q342" i="1" a="1"/>
  <c r="Q342" i="1" s="1"/>
  <c r="P171" i="1"/>
  <c r="Q171" i="1" a="1"/>
  <c r="Q171" i="1" s="1"/>
  <c r="P160" i="1"/>
  <c r="Q160" i="1" a="1"/>
  <c r="Q160" i="1" s="1"/>
  <c r="P164" i="1"/>
  <c r="Q164" i="1" a="1"/>
  <c r="Q164" i="1" s="1"/>
  <c r="P309" i="1"/>
  <c r="Q309" i="1" a="1"/>
  <c r="Q309" i="1" s="1"/>
  <c r="P102" i="1"/>
  <c r="Q102" i="1" a="1"/>
  <c r="Q102" i="1" s="1"/>
  <c r="P231" i="1"/>
  <c r="Q231" i="1" a="1"/>
  <c r="Q231" i="1" s="1"/>
  <c r="P182" i="1"/>
  <c r="Q182" i="1" a="1"/>
  <c r="Q182" i="1" s="1"/>
  <c r="P344" i="1"/>
  <c r="Q344" i="1" a="1"/>
  <c r="Q344" i="1" s="1"/>
  <c r="P53" i="1"/>
  <c r="Q53" i="1" a="1"/>
  <c r="Q53" i="1" s="1"/>
  <c r="P65" i="1"/>
  <c r="Q65" i="1" a="1"/>
  <c r="Q65" i="1" s="1"/>
  <c r="P29" i="1"/>
  <c r="Q29" i="1" a="1"/>
  <c r="Q29" i="1" s="1"/>
  <c r="P329" i="1"/>
  <c r="Q329" i="1" a="1"/>
  <c r="Q329" i="1" s="1"/>
  <c r="P196" i="1"/>
  <c r="Q196" i="1" a="1"/>
  <c r="Q196" i="1" s="1"/>
  <c r="P18" i="1"/>
  <c r="Q18" i="1" a="1"/>
  <c r="Q18" i="1" s="1"/>
  <c r="P147" i="1"/>
  <c r="Q147" i="1" a="1"/>
  <c r="Q147" i="1" s="1"/>
  <c r="P125" i="1"/>
  <c r="Q125" i="1" a="1"/>
  <c r="Q125" i="1" s="1"/>
  <c r="P14" i="1"/>
  <c r="Q14" i="1" a="1"/>
  <c r="Q14" i="1" s="1"/>
  <c r="P218" i="1"/>
  <c r="Q218" i="1" a="1"/>
  <c r="Q218" i="1" s="1"/>
  <c r="P64" i="1"/>
  <c r="Q64" i="1" a="1"/>
  <c r="Q64" i="1" s="1"/>
  <c r="P151" i="1"/>
  <c r="Q151" i="1" a="1"/>
  <c r="Q151" i="1" s="1"/>
  <c r="P331" i="1"/>
  <c r="Q331" i="1" a="1"/>
  <c r="Q331" i="1" s="1"/>
  <c r="P16" i="1"/>
  <c r="Q16" i="1" a="1"/>
  <c r="Q16" i="1" s="1"/>
  <c r="P319" i="1"/>
  <c r="Q319" i="1" a="1"/>
  <c r="Q319" i="1" s="1"/>
  <c r="P17" i="1"/>
  <c r="Q17" i="1" a="1"/>
  <c r="Q17" i="1" s="1"/>
  <c r="P15" i="1"/>
  <c r="Q15" i="1" a="1"/>
  <c r="Q15" i="1" s="1"/>
  <c r="P399" i="1"/>
  <c r="Q399" i="1" a="1"/>
  <c r="Q399" i="1" s="1"/>
  <c r="P244" i="1"/>
  <c r="Q244" i="1" a="1"/>
  <c r="Q244" i="1" s="1"/>
  <c r="P175" i="1"/>
  <c r="Q175" i="1" a="1"/>
  <c r="Q175" i="1" s="1"/>
  <c r="P307" i="1"/>
  <c r="Q307" i="1" a="1"/>
  <c r="Q307" i="1" s="1"/>
  <c r="P114" i="1"/>
  <c r="Q114" i="1" a="1"/>
  <c r="Q114" i="1" s="1"/>
  <c r="P187" i="1"/>
  <c r="Q187" i="1" a="1"/>
  <c r="Q187" i="1" s="1"/>
  <c r="P80" i="1"/>
  <c r="Q80" i="1" a="1"/>
  <c r="Q80" i="1" s="1"/>
  <c r="P268" i="1"/>
  <c r="Q268" i="1" a="1"/>
  <c r="Q268" i="1" s="1"/>
  <c r="P9" i="1"/>
  <c r="Q9" i="1" a="1"/>
  <c r="Q9" i="1" s="1"/>
  <c r="P199" i="1"/>
  <c r="Q199" i="1" a="1"/>
  <c r="Q199" i="1" s="1"/>
  <c r="P278" i="1"/>
  <c r="Q278" i="1" a="1"/>
  <c r="Q278" i="1" s="1"/>
  <c r="P115" i="1"/>
  <c r="Q115" i="1" a="1"/>
  <c r="Q115" i="1" s="1"/>
  <c r="P232" i="1"/>
  <c r="Q232" i="1" a="1"/>
  <c r="Q232" i="1" s="1"/>
  <c r="P211" i="1"/>
  <c r="Q211" i="1" a="1"/>
  <c r="Q211" i="1" s="1"/>
  <c r="P328" i="1"/>
  <c r="Q328" i="1" a="1"/>
  <c r="Q328" i="1" s="1"/>
  <c r="P316" i="1"/>
  <c r="Q316" i="1" a="1"/>
  <c r="Q316" i="1" s="1"/>
  <c r="P391" i="1"/>
  <c r="Q391" i="1" a="1"/>
  <c r="Q391" i="1" s="1"/>
  <c r="P57" i="1"/>
  <c r="Q57" i="1" a="1"/>
  <c r="Q57" i="1" s="1"/>
  <c r="P56" i="1"/>
  <c r="Q56" i="1" a="1"/>
  <c r="Q56" i="1" s="1"/>
  <c r="P392" i="1"/>
  <c r="Q392" i="1" a="1"/>
  <c r="Q392" i="1" s="1"/>
  <c r="P220" i="1"/>
  <c r="Q220" i="1" a="1"/>
  <c r="Q220" i="1" s="1"/>
  <c r="P161" i="1"/>
  <c r="Q161" i="1" a="1"/>
  <c r="Q161" i="1" s="1"/>
  <c r="P43" i="1"/>
  <c r="Q43" i="1" a="1"/>
  <c r="Q43" i="1" s="1"/>
  <c r="P139" i="1"/>
  <c r="Q139" i="1" a="1"/>
  <c r="Q139" i="1" s="1"/>
  <c r="P100" i="1"/>
  <c r="Q100" i="1" a="1"/>
  <c r="Q100" i="1" s="1"/>
  <c r="N101" i="1"/>
  <c r="N339" i="1"/>
  <c r="N327" i="1"/>
  <c r="N223" i="1"/>
  <c r="N67" i="1"/>
  <c r="N30" i="1"/>
  <c r="N401" i="1"/>
  <c r="N184" i="1"/>
  <c r="N159" i="1"/>
  <c r="N293" i="1"/>
  <c r="N110" i="1"/>
  <c r="N234" i="1"/>
  <c r="N117" i="1"/>
  <c r="N363" i="1"/>
  <c r="N389" i="1"/>
  <c r="N365" i="1"/>
  <c r="N163" i="1"/>
  <c r="N224" i="1"/>
  <c r="N81" i="1"/>
  <c r="N258" i="1"/>
  <c r="N137" i="1"/>
  <c r="N338" i="1"/>
  <c r="N162" i="1"/>
  <c r="N152" i="1"/>
  <c r="N291" i="1"/>
  <c r="N44" i="1"/>
  <c r="N158" i="1"/>
  <c r="N148" i="1"/>
  <c r="N362" i="1"/>
  <c r="N198" i="1"/>
  <c r="N280" i="1"/>
  <c r="N295" i="1"/>
  <c r="N33" i="1"/>
  <c r="N345" i="1"/>
  <c r="N8" i="1"/>
  <c r="N249" i="1"/>
  <c r="N197" i="1"/>
  <c r="N88" i="1"/>
  <c r="N400" i="1"/>
  <c r="N304" i="1"/>
  <c r="N366" i="1"/>
  <c r="N78" i="1"/>
  <c r="N251" i="1"/>
  <c r="N369" i="1"/>
  <c r="N396" i="1"/>
  <c r="N301" i="1"/>
  <c r="N87" i="1"/>
  <c r="N240" i="1"/>
  <c r="N11" i="1"/>
  <c r="N284" i="1"/>
  <c r="N219" i="1"/>
  <c r="N71" i="1"/>
  <c r="N188" i="1"/>
  <c r="N47" i="1"/>
  <c r="N299" i="1"/>
  <c r="N169" i="1"/>
  <c r="N46" i="1"/>
  <c r="N276" i="1"/>
  <c r="N289" i="1"/>
  <c r="N310" i="1"/>
  <c r="N49" i="1"/>
  <c r="N84" i="1"/>
  <c r="N72" i="1"/>
  <c r="N264" i="1"/>
  <c r="N252" i="1"/>
  <c r="N86" i="1"/>
  <c r="N213" i="1"/>
  <c r="N123" i="1"/>
  <c r="N333" i="1"/>
  <c r="N111" i="1"/>
  <c r="N330" i="1"/>
  <c r="N269" i="1"/>
  <c r="N32" i="1"/>
  <c r="N390" i="1"/>
  <c r="N285" i="1"/>
  <c r="N245" i="1"/>
  <c r="N112" i="1"/>
  <c r="N321" i="1"/>
  <c r="N149" i="1"/>
  <c r="N38" i="1"/>
  <c r="N90" i="1"/>
  <c r="N63" i="1"/>
  <c r="N320" i="1"/>
  <c r="N138" i="1"/>
  <c r="N292" i="1"/>
  <c r="N290" i="1"/>
  <c r="N54" i="1"/>
  <c r="N208" i="1"/>
  <c r="N41" i="1"/>
  <c r="N243" i="1"/>
  <c r="N50" i="1"/>
  <c r="N388" i="1"/>
  <c r="N314" i="1"/>
  <c r="N129" i="1"/>
  <c r="N247" i="1"/>
  <c r="N51" i="1"/>
  <c r="N237" i="1"/>
  <c r="N74" i="1"/>
  <c r="N255" i="1"/>
  <c r="N225" i="1"/>
  <c r="N7" i="1"/>
  <c r="N340" i="1"/>
  <c r="N317" i="1"/>
  <c r="N259" i="1"/>
  <c r="N222" i="1"/>
  <c r="N241" i="1"/>
  <c r="N141" i="1"/>
  <c r="N384" i="1"/>
  <c r="N193" i="1"/>
  <c r="N20" i="1"/>
  <c r="N166" i="1"/>
  <c r="N69" i="1"/>
  <c r="N37" i="1"/>
  <c r="N325" i="1"/>
  <c r="N312" i="1"/>
  <c r="N347" i="1"/>
  <c r="N202" i="1"/>
  <c r="N323" i="1"/>
  <c r="N140" i="1"/>
  <c r="N23" i="1"/>
  <c r="N212" i="1"/>
  <c r="N94" i="1"/>
  <c r="N373" i="1"/>
  <c r="N397" i="1"/>
  <c r="N217" i="1"/>
  <c r="N239" i="1"/>
  <c r="N361" i="1"/>
  <c r="N346" i="1"/>
  <c r="N118" i="1"/>
  <c r="N48" i="1"/>
  <c r="N73" i="1"/>
  <c r="N167" i="1"/>
  <c r="N106" i="1"/>
  <c r="N68" i="1"/>
  <c r="N358" i="1"/>
  <c r="N216" i="1"/>
  <c r="N226" i="1"/>
  <c r="N300" i="1"/>
  <c r="N13" i="1"/>
  <c r="N191" i="1"/>
  <c r="N263" i="1"/>
  <c r="N135" i="1"/>
  <c r="N298" i="1"/>
  <c r="N385" i="1"/>
  <c r="N286" i="1"/>
  <c r="N119" i="1"/>
  <c r="N337" i="1"/>
  <c r="N253" i="1"/>
  <c r="N107" i="1"/>
  <c r="N97" i="1"/>
  <c r="N357" i="1"/>
  <c r="N348" i="1"/>
  <c r="N168" i="1"/>
  <c r="N336" i="1"/>
  <c r="N262" i="1"/>
  <c r="N181" i="1"/>
  <c r="N132" i="1"/>
  <c r="N359" i="1"/>
  <c r="N144" i="1"/>
  <c r="N381" i="1"/>
  <c r="N382" i="1"/>
  <c r="N229" i="1"/>
  <c r="N322" i="1"/>
  <c r="N145" i="1"/>
  <c r="N287" i="1"/>
  <c r="N154" i="1"/>
  <c r="N288" i="1"/>
  <c r="N313" i="1"/>
  <c r="N238" i="1"/>
  <c r="N203" i="1"/>
  <c r="N92" i="1"/>
  <c r="N180" i="1"/>
  <c r="N349" i="1"/>
  <c r="N279" i="1"/>
  <c r="N324" i="1"/>
  <c r="N227" i="1"/>
  <c r="N370" i="1"/>
  <c r="N204" i="1"/>
  <c r="N274" i="1"/>
  <c r="N332" i="1"/>
  <c r="N27" i="1"/>
  <c r="N45" i="1"/>
  <c r="N95" i="1"/>
  <c r="N372" i="1"/>
  <c r="N83" i="1"/>
  <c r="N34" i="1"/>
  <c r="N335" i="1"/>
  <c r="N261" i="1"/>
  <c r="N383" i="1"/>
  <c r="N371" i="1"/>
  <c r="N334" i="1"/>
  <c r="N155" i="1"/>
  <c r="N265" i="1"/>
  <c r="N82" i="1"/>
  <c r="N228" i="1"/>
  <c r="N70" i="1"/>
  <c r="N360" i="1"/>
  <c r="N130" i="1"/>
  <c r="N85" i="1"/>
  <c r="N236" i="1"/>
  <c r="N25" i="1"/>
  <c r="N93" i="1"/>
  <c r="N356" i="1"/>
  <c r="N133" i="1"/>
  <c r="N277" i="1"/>
  <c r="N394" i="1"/>
  <c r="N142" i="1"/>
  <c r="N60" i="1"/>
  <c r="N24" i="1"/>
  <c r="N395" i="1"/>
  <c r="N121" i="1"/>
  <c r="N108" i="1"/>
  <c r="N116" i="1"/>
  <c r="N192" i="1"/>
  <c r="N205" i="1"/>
  <c r="N22" i="1"/>
  <c r="N10" i="1"/>
  <c r="N215" i="1"/>
  <c r="N156" i="1"/>
  <c r="N275" i="1"/>
  <c r="N143" i="1"/>
  <c r="N58" i="1"/>
  <c r="N59" i="1"/>
  <c r="N190" i="1"/>
  <c r="N380" i="1"/>
  <c r="N376" i="1"/>
  <c r="N120" i="1"/>
  <c r="N96" i="1"/>
  <c r="N35" i="1"/>
  <c r="N157" i="1"/>
  <c r="N250" i="1"/>
  <c r="N165" i="1"/>
  <c r="N109" i="1"/>
  <c r="N12" i="1"/>
  <c r="N311" i="1"/>
  <c r="N178" i="1"/>
  <c r="N61" i="1"/>
  <c r="N36" i="1"/>
  <c r="N131" i="1"/>
  <c r="N179" i="1"/>
  <c r="N214" i="1"/>
  <c r="N351" i="1"/>
  <c r="P58" i="1" l="1"/>
  <c r="Q58" i="1" a="1"/>
  <c r="Q58" i="1" s="1"/>
  <c r="P279" i="1"/>
  <c r="Q279" i="1" a="1"/>
  <c r="Q279" i="1" s="1"/>
  <c r="P325" i="1"/>
  <c r="Q325" i="1" a="1"/>
  <c r="Q325" i="1" s="1"/>
  <c r="P47" i="1"/>
  <c r="Q47" i="1" a="1"/>
  <c r="Q47" i="1" s="1"/>
  <c r="P24" i="1"/>
  <c r="Q24" i="1" a="1"/>
  <c r="Q24" i="1" s="1"/>
  <c r="P382" i="1"/>
  <c r="Q382" i="1" a="1"/>
  <c r="Q382" i="1" s="1"/>
  <c r="P217" i="1"/>
  <c r="Q217" i="1" a="1"/>
  <c r="Q217" i="1" s="1"/>
  <c r="P7" i="1"/>
  <c r="Q7" i="1" a="1"/>
  <c r="Q7" i="1" s="1"/>
  <c r="P112" i="1"/>
  <c r="Q112" i="1" a="1"/>
  <c r="Q112" i="1" s="1"/>
  <c r="P366" i="1"/>
  <c r="Q366" i="1" a="1"/>
  <c r="Q366" i="1" s="1"/>
  <c r="P67" i="1"/>
  <c r="Q67" i="1" a="1"/>
  <c r="Q67" i="1" s="1"/>
  <c r="P165" i="1"/>
  <c r="Q165" i="1" a="1"/>
  <c r="Q165" i="1" s="1"/>
  <c r="P70" i="1"/>
  <c r="Q70" i="1" a="1"/>
  <c r="Q70" i="1" s="1"/>
  <c r="P381" i="1"/>
  <c r="Q381" i="1" a="1"/>
  <c r="Q381" i="1" s="1"/>
  <c r="P397" i="1"/>
  <c r="Q397" i="1" a="1"/>
  <c r="Q397" i="1" s="1"/>
  <c r="P208" i="1"/>
  <c r="Q208" i="1" a="1"/>
  <c r="Q208" i="1" s="1"/>
  <c r="P71" i="1"/>
  <c r="Q71" i="1" a="1"/>
  <c r="Q71" i="1" s="1"/>
  <c r="P148" i="1"/>
  <c r="Q148" i="1" a="1"/>
  <c r="Q148" i="1" s="1"/>
  <c r="P223" i="1"/>
  <c r="Q223" i="1" a="1"/>
  <c r="Q223" i="1" s="1"/>
  <c r="P142" i="1"/>
  <c r="Q142" i="1" a="1"/>
  <c r="Q142" i="1" s="1"/>
  <c r="P92" i="1"/>
  <c r="Q92" i="1" a="1"/>
  <c r="Q92" i="1" s="1"/>
  <c r="P358" i="1"/>
  <c r="Q358" i="1" a="1"/>
  <c r="Q358" i="1" s="1"/>
  <c r="P166" i="1"/>
  <c r="Q166" i="1" a="1"/>
  <c r="Q166" i="1" s="1"/>
  <c r="P285" i="1"/>
  <c r="Q285" i="1" a="1"/>
  <c r="Q285" i="1" s="1"/>
  <c r="P219" i="1"/>
  <c r="Q219" i="1" a="1"/>
  <c r="Q219" i="1" s="1"/>
  <c r="P389" i="1"/>
  <c r="Q389" i="1" a="1"/>
  <c r="Q389" i="1" s="1"/>
  <c r="P215" i="1"/>
  <c r="Q215" i="1" a="1"/>
  <c r="Q215" i="1" s="1"/>
  <c r="P45" i="1"/>
  <c r="Q45" i="1" a="1"/>
  <c r="Q45" i="1" s="1"/>
  <c r="P94" i="1"/>
  <c r="Q94" i="1" a="1"/>
  <c r="Q94" i="1" s="1"/>
  <c r="P390" i="1"/>
  <c r="Q390" i="1" a="1"/>
  <c r="Q390" i="1" s="1"/>
  <c r="P178" i="1"/>
  <c r="Q178" i="1" a="1"/>
  <c r="Q178" i="1" s="1"/>
  <c r="P190" i="1"/>
  <c r="Q190" i="1" a="1"/>
  <c r="Q190" i="1" s="1"/>
  <c r="P108" i="1"/>
  <c r="Q108" i="1" a="1"/>
  <c r="Q108" i="1" s="1"/>
  <c r="P236" i="1"/>
  <c r="Q236" i="1" a="1"/>
  <c r="Q236" i="1" s="1"/>
  <c r="P261" i="1"/>
  <c r="Q261" i="1" a="1"/>
  <c r="Q261" i="1" s="1"/>
  <c r="P227" i="1"/>
  <c r="Q227" i="1" a="1"/>
  <c r="Q227" i="1" s="1"/>
  <c r="P145" i="1"/>
  <c r="Q145" i="1" a="1"/>
  <c r="Q145" i="1" s="1"/>
  <c r="P348" i="1"/>
  <c r="Q348" i="1" a="1"/>
  <c r="Q348" i="1" s="1"/>
  <c r="P191" i="1"/>
  <c r="Q191" i="1" a="1"/>
  <c r="Q191" i="1" s="1"/>
  <c r="P346" i="1"/>
  <c r="Q346" i="1" a="1"/>
  <c r="Q346" i="1" s="1"/>
  <c r="P347" i="1"/>
  <c r="Q347" i="1" a="1"/>
  <c r="Q347" i="1" s="1"/>
  <c r="P259" i="1"/>
  <c r="Q259" i="1" a="1"/>
  <c r="Q259" i="1" s="1"/>
  <c r="P388" i="1"/>
  <c r="Q388" i="1" a="1"/>
  <c r="Q388" i="1" s="1"/>
  <c r="P38" i="1"/>
  <c r="Q38" i="1" a="1"/>
  <c r="Q38" i="1" s="1"/>
  <c r="P123" i="1"/>
  <c r="Q123" i="1" a="1"/>
  <c r="Q123" i="1" s="1"/>
  <c r="P169" i="1"/>
  <c r="Q169" i="1" a="1"/>
  <c r="Q169" i="1" s="1"/>
  <c r="P369" i="1"/>
  <c r="Q369" i="1" a="1"/>
  <c r="Q369" i="1" s="1"/>
  <c r="P295" i="1"/>
  <c r="Q295" i="1" a="1"/>
  <c r="Q295" i="1" s="1"/>
  <c r="P258" i="1"/>
  <c r="Q258" i="1" a="1"/>
  <c r="Q258" i="1" s="1"/>
  <c r="P184" i="1"/>
  <c r="Q184" i="1" a="1"/>
  <c r="Q184" i="1" s="1"/>
  <c r="P311" i="1"/>
  <c r="Q311" i="1" a="1"/>
  <c r="Q311" i="1" s="1"/>
  <c r="P59" i="1"/>
  <c r="Q59" i="1" a="1"/>
  <c r="Q59" i="1" s="1"/>
  <c r="P121" i="1"/>
  <c r="Q121" i="1" a="1"/>
  <c r="Q121" i="1" s="1"/>
  <c r="P85" i="1"/>
  <c r="Q85" i="1" a="1"/>
  <c r="Q85" i="1" s="1"/>
  <c r="P335" i="1"/>
  <c r="Q335" i="1" a="1"/>
  <c r="Q335" i="1" s="1"/>
  <c r="P324" i="1"/>
  <c r="Q324" i="1" a="1"/>
  <c r="Q324" i="1" s="1"/>
  <c r="P322" i="1"/>
  <c r="Q322" i="1" a="1"/>
  <c r="Q322" i="1" s="1"/>
  <c r="P357" i="1"/>
  <c r="Q357" i="1" a="1"/>
  <c r="Q357" i="1" s="1"/>
  <c r="P13" i="1"/>
  <c r="Q13" i="1" a="1"/>
  <c r="Q13" i="1" s="1"/>
  <c r="P361" i="1"/>
  <c r="Q361" i="1" a="1"/>
  <c r="Q361" i="1" s="1"/>
  <c r="P312" i="1"/>
  <c r="Q312" i="1" a="1"/>
  <c r="Q312" i="1" s="1"/>
  <c r="P317" i="1"/>
  <c r="Q317" i="1" a="1"/>
  <c r="Q317" i="1" s="1"/>
  <c r="P50" i="1"/>
  <c r="Q50" i="1" a="1"/>
  <c r="Q50" i="1" s="1"/>
  <c r="P149" i="1"/>
  <c r="Q149" i="1" a="1"/>
  <c r="Q149" i="1" s="1"/>
  <c r="P213" i="1"/>
  <c r="Q213" i="1" a="1"/>
  <c r="Q213" i="1" s="1"/>
  <c r="P299" i="1"/>
  <c r="Q299" i="1" a="1"/>
  <c r="Q299" i="1" s="1"/>
  <c r="P251" i="1"/>
  <c r="Q251" i="1" a="1"/>
  <c r="Q251" i="1" s="1"/>
  <c r="P280" i="1"/>
  <c r="Q280" i="1" a="1"/>
  <c r="Q280" i="1" s="1"/>
  <c r="P81" i="1"/>
  <c r="Q81" i="1" a="1"/>
  <c r="Q81" i="1" s="1"/>
  <c r="P401" i="1"/>
  <c r="Q401" i="1" a="1"/>
  <c r="Q401" i="1" s="1"/>
  <c r="P214" i="1"/>
  <c r="Q214" i="1" a="1"/>
  <c r="Q214" i="1" s="1"/>
  <c r="P35" i="1"/>
  <c r="Q35" i="1" a="1"/>
  <c r="Q35" i="1" s="1"/>
  <c r="P10" i="1"/>
  <c r="Q10" i="1" a="1"/>
  <c r="Q10" i="1" s="1"/>
  <c r="P277" i="1"/>
  <c r="Q277" i="1" a="1"/>
  <c r="Q277" i="1" s="1"/>
  <c r="P265" i="1"/>
  <c r="Q265" i="1" a="1"/>
  <c r="Q265" i="1" s="1"/>
  <c r="P27" i="1"/>
  <c r="Q27" i="1" a="1"/>
  <c r="Q27" i="1" s="1"/>
  <c r="P238" i="1"/>
  <c r="Q238" i="1" a="1"/>
  <c r="Q238" i="1" s="1"/>
  <c r="P132" i="1"/>
  <c r="Q132" i="1" a="1"/>
  <c r="Q132" i="1" s="1"/>
  <c r="P286" i="1"/>
  <c r="Q286" i="1" a="1"/>
  <c r="Q286" i="1" s="1"/>
  <c r="P106" i="1"/>
  <c r="Q106" i="1" a="1"/>
  <c r="Q106" i="1" s="1"/>
  <c r="P212" i="1"/>
  <c r="Q212" i="1" a="1"/>
  <c r="Q212" i="1" s="1"/>
  <c r="P193" i="1"/>
  <c r="Q193" i="1" a="1"/>
  <c r="Q193" i="1" s="1"/>
  <c r="P237" i="1"/>
  <c r="Q237" i="1" a="1"/>
  <c r="Q237" i="1" s="1"/>
  <c r="P292" i="1"/>
  <c r="Q292" i="1" a="1"/>
  <c r="Q292" i="1" s="1"/>
  <c r="P32" i="1"/>
  <c r="Q32" i="1" a="1"/>
  <c r="Q32" i="1" s="1"/>
  <c r="P49" i="1"/>
  <c r="Q49" i="1" a="1"/>
  <c r="Q49" i="1" s="1"/>
  <c r="P11" i="1"/>
  <c r="Q11" i="1" a="1"/>
  <c r="Q11" i="1" s="1"/>
  <c r="P197" i="1"/>
  <c r="Q197" i="1" a="1"/>
  <c r="Q197" i="1" s="1"/>
  <c r="P291" i="1"/>
  <c r="Q291" i="1" a="1"/>
  <c r="Q291" i="1" s="1"/>
  <c r="P117" i="1"/>
  <c r="Q117" i="1" a="1"/>
  <c r="Q117" i="1" s="1"/>
  <c r="P101" i="1"/>
  <c r="Q101" i="1" a="1"/>
  <c r="Q101" i="1" s="1"/>
  <c r="P130" i="1"/>
  <c r="Q130" i="1" a="1"/>
  <c r="Q130" i="1" s="1"/>
  <c r="P97" i="1"/>
  <c r="Q97" i="1" a="1"/>
  <c r="Q97" i="1" s="1"/>
  <c r="P243" i="1"/>
  <c r="Q243" i="1" a="1"/>
  <c r="Q243" i="1" s="1"/>
  <c r="P198" i="1"/>
  <c r="Q198" i="1" a="1"/>
  <c r="Q198" i="1" s="1"/>
  <c r="P83" i="1"/>
  <c r="Q83" i="1" a="1"/>
  <c r="Q83" i="1" s="1"/>
  <c r="P351" i="1"/>
  <c r="Q351" i="1" a="1"/>
  <c r="Q351" i="1" s="1"/>
  <c r="P82" i="1"/>
  <c r="Q82" i="1" a="1"/>
  <c r="Q82" i="1" s="1"/>
  <c r="P119" i="1"/>
  <c r="Q119" i="1" a="1"/>
  <c r="Q119" i="1" s="1"/>
  <c r="P290" i="1"/>
  <c r="Q290" i="1" a="1"/>
  <c r="Q290" i="1" s="1"/>
  <c r="P88" i="1"/>
  <c r="Q88" i="1" a="1"/>
  <c r="Q88" i="1" s="1"/>
  <c r="P179" i="1"/>
  <c r="Q179" i="1" a="1"/>
  <c r="Q179" i="1" s="1"/>
  <c r="P133" i="1"/>
  <c r="Q133" i="1" a="1"/>
  <c r="Q133" i="1" s="1"/>
  <c r="P313" i="1"/>
  <c r="Q313" i="1" a="1"/>
  <c r="Q313" i="1" s="1"/>
  <c r="P385" i="1"/>
  <c r="Q385" i="1" a="1"/>
  <c r="Q385" i="1" s="1"/>
  <c r="P51" i="1"/>
  <c r="Q51" i="1" a="1"/>
  <c r="Q51" i="1" s="1"/>
  <c r="P310" i="1"/>
  <c r="Q310" i="1" a="1"/>
  <c r="Q310" i="1" s="1"/>
  <c r="P249" i="1"/>
  <c r="Q249" i="1" a="1"/>
  <c r="Q249" i="1" s="1"/>
  <c r="P131" i="1"/>
  <c r="Q131" i="1" a="1"/>
  <c r="Q131" i="1" s="1"/>
  <c r="P120" i="1"/>
  <c r="Q120" i="1" a="1"/>
  <c r="Q120" i="1" s="1"/>
  <c r="P205" i="1"/>
  <c r="Q205" i="1" a="1"/>
  <c r="Q205" i="1" s="1"/>
  <c r="P356" i="1"/>
  <c r="Q356" i="1" a="1"/>
  <c r="Q356" i="1" s="1"/>
  <c r="P334" i="1"/>
  <c r="Q334" i="1" a="1"/>
  <c r="Q334" i="1" s="1"/>
  <c r="P274" i="1"/>
  <c r="Q274" i="1" a="1"/>
  <c r="Q274" i="1" s="1"/>
  <c r="P288" i="1"/>
  <c r="Q288" i="1" a="1"/>
  <c r="Q288" i="1" s="1"/>
  <c r="P262" i="1"/>
  <c r="Q262" i="1" a="1"/>
  <c r="Q262" i="1" s="1"/>
  <c r="P298" i="1"/>
  <c r="Q298" i="1" a="1"/>
  <c r="Q298" i="1" s="1"/>
  <c r="P73" i="1"/>
  <c r="Q73" i="1" a="1"/>
  <c r="Q73" i="1" s="1"/>
  <c r="P140" i="1"/>
  <c r="Q140" i="1" a="1"/>
  <c r="Q140" i="1" s="1"/>
  <c r="P141" i="1"/>
  <c r="Q141" i="1" a="1"/>
  <c r="Q141" i="1" s="1"/>
  <c r="P247" i="1"/>
  <c r="Q247" i="1" a="1"/>
  <c r="Q247" i="1" s="1"/>
  <c r="P320" i="1"/>
  <c r="Q320" i="1" a="1"/>
  <c r="Q320" i="1" s="1"/>
  <c r="P330" i="1"/>
  <c r="Q330" i="1" a="1"/>
  <c r="Q330" i="1" s="1"/>
  <c r="P289" i="1"/>
  <c r="Q289" i="1" a="1"/>
  <c r="Q289" i="1" s="1"/>
  <c r="P87" i="1"/>
  <c r="Q87" i="1" a="1"/>
  <c r="Q87" i="1" s="1"/>
  <c r="P8" i="1"/>
  <c r="Q8" i="1" a="1"/>
  <c r="Q8" i="1" s="1"/>
  <c r="P162" i="1"/>
  <c r="Q162" i="1" a="1"/>
  <c r="Q162" i="1" s="1"/>
  <c r="P110" i="1"/>
  <c r="Q110" i="1" a="1"/>
  <c r="Q110" i="1" s="1"/>
  <c r="P395" i="1"/>
  <c r="Q395" i="1" a="1"/>
  <c r="Q395" i="1" s="1"/>
  <c r="P229" i="1"/>
  <c r="Q229" i="1" a="1"/>
  <c r="Q229" i="1" s="1"/>
  <c r="P239" i="1"/>
  <c r="Q239" i="1" a="1"/>
  <c r="Q239" i="1" s="1"/>
  <c r="P321" i="1"/>
  <c r="Q321" i="1" a="1"/>
  <c r="Q321" i="1" s="1"/>
  <c r="P78" i="1"/>
  <c r="Q78" i="1" a="1"/>
  <c r="Q78" i="1" s="1"/>
  <c r="P30" i="1"/>
  <c r="Q30" i="1" a="1"/>
  <c r="Q30" i="1" s="1"/>
  <c r="P143" i="1"/>
  <c r="Q143" i="1" a="1"/>
  <c r="Q143" i="1" s="1"/>
  <c r="P349" i="1"/>
  <c r="Q349" i="1" a="1"/>
  <c r="Q349" i="1" s="1"/>
  <c r="P107" i="1"/>
  <c r="Q107" i="1" a="1"/>
  <c r="Q107" i="1" s="1"/>
  <c r="P37" i="1"/>
  <c r="Q37" i="1" a="1"/>
  <c r="Q37" i="1" s="1"/>
  <c r="P41" i="1"/>
  <c r="Q41" i="1" a="1"/>
  <c r="Q41" i="1" s="1"/>
  <c r="P188" i="1"/>
  <c r="Q188" i="1" a="1"/>
  <c r="Q188" i="1" s="1"/>
  <c r="P163" i="1"/>
  <c r="Q163" i="1" a="1"/>
  <c r="Q163" i="1" s="1"/>
  <c r="P275" i="1"/>
  <c r="Q275" i="1" a="1"/>
  <c r="Q275" i="1" s="1"/>
  <c r="P372" i="1"/>
  <c r="Q372" i="1" a="1"/>
  <c r="Q372" i="1" s="1"/>
  <c r="P253" i="1"/>
  <c r="Q253" i="1" a="1"/>
  <c r="Q253" i="1" s="1"/>
  <c r="P69" i="1"/>
  <c r="Q69" i="1" a="1"/>
  <c r="Q69" i="1" s="1"/>
  <c r="P245" i="1"/>
  <c r="Q245" i="1" a="1"/>
  <c r="Q245" i="1" s="1"/>
  <c r="P304" i="1"/>
  <c r="Q304" i="1" a="1"/>
  <c r="Q304" i="1" s="1"/>
  <c r="P365" i="1"/>
  <c r="Q365" i="1" a="1"/>
  <c r="Q365" i="1" s="1"/>
  <c r="P250" i="1"/>
  <c r="Q250" i="1" a="1"/>
  <c r="Q250" i="1" s="1"/>
  <c r="P228" i="1"/>
  <c r="Q228" i="1" a="1"/>
  <c r="Q228" i="1" s="1"/>
  <c r="P144" i="1"/>
  <c r="Q144" i="1" a="1"/>
  <c r="Q144" i="1" s="1"/>
  <c r="P373" i="1"/>
  <c r="Q373" i="1" a="1"/>
  <c r="Q373" i="1" s="1"/>
  <c r="P54" i="1"/>
  <c r="Q54" i="1" a="1"/>
  <c r="Q54" i="1" s="1"/>
  <c r="P72" i="1"/>
  <c r="Q72" i="1" a="1"/>
  <c r="Q72" i="1" s="1"/>
  <c r="P400" i="1"/>
  <c r="Q400" i="1" a="1"/>
  <c r="Q400" i="1" s="1"/>
  <c r="P327" i="1"/>
  <c r="Q327" i="1" a="1"/>
  <c r="Q327" i="1" s="1"/>
  <c r="P157" i="1"/>
  <c r="Q157" i="1" a="1"/>
  <c r="Q157" i="1" s="1"/>
  <c r="P359" i="1"/>
  <c r="Q359" i="1" a="1"/>
  <c r="Q359" i="1" s="1"/>
  <c r="P20" i="1"/>
  <c r="Q20" i="1" a="1"/>
  <c r="Q20" i="1" s="1"/>
  <c r="P84" i="1"/>
  <c r="Q84" i="1" a="1"/>
  <c r="Q84" i="1" s="1"/>
  <c r="P44" i="1"/>
  <c r="Q44" i="1" a="1"/>
  <c r="Q44" i="1" s="1"/>
  <c r="P22" i="1"/>
  <c r="Q22" i="1" a="1"/>
  <c r="Q22" i="1" s="1"/>
  <c r="P332" i="1"/>
  <c r="Q332" i="1" a="1"/>
  <c r="Q332" i="1" s="1"/>
  <c r="P167" i="1"/>
  <c r="Q167" i="1" a="1"/>
  <c r="Q167" i="1" s="1"/>
  <c r="P138" i="1"/>
  <c r="Q138" i="1" a="1"/>
  <c r="Q138" i="1" s="1"/>
  <c r="P376" i="1"/>
  <c r="Q376" i="1" a="1"/>
  <c r="Q376" i="1" s="1"/>
  <c r="P371" i="1"/>
  <c r="Q371" i="1" a="1"/>
  <c r="Q371" i="1" s="1"/>
  <c r="P336" i="1"/>
  <c r="Q336" i="1" a="1"/>
  <c r="Q336" i="1" s="1"/>
  <c r="P48" i="1"/>
  <c r="Q48" i="1" a="1"/>
  <c r="Q48" i="1" s="1"/>
  <c r="P241" i="1"/>
  <c r="Q241" i="1" a="1"/>
  <c r="Q241" i="1" s="1"/>
  <c r="P111" i="1"/>
  <c r="Q111" i="1" a="1"/>
  <c r="Q111" i="1" s="1"/>
  <c r="P301" i="1"/>
  <c r="Q301" i="1" a="1"/>
  <c r="Q301" i="1" s="1"/>
  <c r="P338" i="1"/>
  <c r="Q338" i="1" a="1"/>
  <c r="Q338" i="1" s="1"/>
  <c r="P293" i="1"/>
  <c r="Q293" i="1" a="1"/>
  <c r="Q293" i="1" s="1"/>
  <c r="P12" i="1"/>
  <c r="Q12" i="1" a="1"/>
  <c r="Q12" i="1" s="1"/>
  <c r="P34" i="1"/>
  <c r="Q34" i="1" a="1"/>
  <c r="Q34" i="1" s="1"/>
  <c r="P300" i="1"/>
  <c r="Q300" i="1" a="1"/>
  <c r="Q300" i="1" s="1"/>
  <c r="P340" i="1"/>
  <c r="Q340" i="1" a="1"/>
  <c r="Q340" i="1" s="1"/>
  <c r="P86" i="1"/>
  <c r="Q86" i="1" a="1"/>
  <c r="Q86" i="1" s="1"/>
  <c r="P224" i="1"/>
  <c r="Q224" i="1" a="1"/>
  <c r="Q224" i="1" s="1"/>
  <c r="P109" i="1"/>
  <c r="Q109" i="1" a="1"/>
  <c r="Q109" i="1" s="1"/>
  <c r="P360" i="1"/>
  <c r="Q360" i="1" a="1"/>
  <c r="Q360" i="1" s="1"/>
  <c r="P226" i="1"/>
  <c r="Q226" i="1" a="1"/>
  <c r="Q226" i="1" s="1"/>
  <c r="P252" i="1"/>
  <c r="Q252" i="1" a="1"/>
  <c r="Q252" i="1" s="1"/>
  <c r="P362" i="1"/>
  <c r="Q362" i="1" a="1"/>
  <c r="Q362" i="1" s="1"/>
  <c r="P60" i="1"/>
  <c r="Q60" i="1" a="1"/>
  <c r="Q60" i="1" s="1"/>
  <c r="P180" i="1"/>
  <c r="Q180" i="1" a="1"/>
  <c r="Q180" i="1" s="1"/>
  <c r="P216" i="1"/>
  <c r="Q216" i="1" a="1"/>
  <c r="Q216" i="1" s="1"/>
  <c r="P225" i="1"/>
  <c r="Q225" i="1" a="1"/>
  <c r="Q225" i="1" s="1"/>
  <c r="P264" i="1"/>
  <c r="Q264" i="1" a="1"/>
  <c r="Q264" i="1" s="1"/>
  <c r="P156" i="1"/>
  <c r="Q156" i="1" a="1"/>
  <c r="Q156" i="1" s="1"/>
  <c r="P95" i="1"/>
  <c r="Q95" i="1" a="1"/>
  <c r="Q95" i="1" s="1"/>
  <c r="P337" i="1"/>
  <c r="Q337" i="1" a="1"/>
  <c r="Q337" i="1" s="1"/>
  <c r="P255" i="1"/>
  <c r="Q255" i="1" a="1"/>
  <c r="Q255" i="1" s="1"/>
  <c r="P158" i="1"/>
  <c r="Q158" i="1" a="1"/>
  <c r="Q158" i="1" s="1"/>
  <c r="P394" i="1"/>
  <c r="Q394" i="1" a="1"/>
  <c r="Q394" i="1" s="1"/>
  <c r="P203" i="1"/>
  <c r="Q203" i="1" a="1"/>
  <c r="Q203" i="1" s="1"/>
  <c r="P68" i="1"/>
  <c r="Q68" i="1" a="1"/>
  <c r="Q68" i="1" s="1"/>
  <c r="P74" i="1"/>
  <c r="Q74" i="1" a="1"/>
  <c r="Q74" i="1" s="1"/>
  <c r="P284" i="1"/>
  <c r="Q284" i="1" a="1"/>
  <c r="Q284" i="1" s="1"/>
  <c r="P363" i="1"/>
  <c r="Q363" i="1" a="1"/>
  <c r="Q363" i="1" s="1"/>
  <c r="P339" i="1"/>
  <c r="Q339" i="1" a="1"/>
  <c r="Q339" i="1" s="1"/>
  <c r="P96" i="1"/>
  <c r="Q96" i="1" a="1"/>
  <c r="Q96" i="1" s="1"/>
  <c r="P155" i="1"/>
  <c r="Q155" i="1" a="1"/>
  <c r="Q155" i="1" s="1"/>
  <c r="P181" i="1"/>
  <c r="Q181" i="1" a="1"/>
  <c r="Q181" i="1" s="1"/>
  <c r="P23" i="1"/>
  <c r="Q23" i="1" a="1"/>
  <c r="Q23" i="1" s="1"/>
  <c r="P384" i="1"/>
  <c r="Q384" i="1" a="1"/>
  <c r="Q384" i="1" s="1"/>
  <c r="P269" i="1"/>
  <c r="Q269" i="1" a="1"/>
  <c r="Q269" i="1" s="1"/>
  <c r="P240" i="1"/>
  <c r="Q240" i="1" a="1"/>
  <c r="Q240" i="1" s="1"/>
  <c r="P152" i="1"/>
  <c r="Q152" i="1" a="1"/>
  <c r="Q152" i="1" s="1"/>
  <c r="P234" i="1"/>
  <c r="Q234" i="1" a="1"/>
  <c r="Q234" i="1" s="1"/>
  <c r="P36" i="1"/>
  <c r="Q36" i="1" a="1"/>
  <c r="Q36" i="1" s="1"/>
  <c r="P192" i="1"/>
  <c r="Q192" i="1" a="1"/>
  <c r="Q192" i="1" s="1"/>
  <c r="P93" i="1"/>
  <c r="Q93" i="1" a="1"/>
  <c r="Q93" i="1" s="1"/>
  <c r="P204" i="1"/>
  <c r="Q204" i="1" a="1"/>
  <c r="Q204" i="1" s="1"/>
  <c r="P154" i="1"/>
  <c r="Q154" i="1" a="1"/>
  <c r="Q154" i="1" s="1"/>
  <c r="P135" i="1"/>
  <c r="Q135" i="1" a="1"/>
  <c r="Q135" i="1" s="1"/>
  <c r="P323" i="1"/>
  <c r="Q323" i="1" a="1"/>
  <c r="Q323" i="1" s="1"/>
  <c r="P129" i="1"/>
  <c r="Q129" i="1" a="1"/>
  <c r="Q129" i="1" s="1"/>
  <c r="P63" i="1"/>
  <c r="Q63" i="1" a="1"/>
  <c r="Q63" i="1" s="1"/>
  <c r="P276" i="1"/>
  <c r="Q276" i="1" a="1"/>
  <c r="Q276" i="1" s="1"/>
  <c r="P345" i="1"/>
  <c r="Q345" i="1" a="1"/>
  <c r="Q345" i="1" s="1"/>
  <c r="P61" i="1"/>
  <c r="Q61" i="1" a="1"/>
  <c r="Q61" i="1" s="1"/>
  <c r="P380" i="1"/>
  <c r="Q380" i="1" a="1"/>
  <c r="Q380" i="1" s="1"/>
  <c r="P116" i="1"/>
  <c r="Q116" i="1" a="1"/>
  <c r="Q116" i="1" s="1"/>
  <c r="P25" i="1"/>
  <c r="Q25" i="1" a="1"/>
  <c r="Q25" i="1" s="1"/>
  <c r="P383" i="1"/>
  <c r="Q383" i="1" a="1"/>
  <c r="Q383" i="1" s="1"/>
  <c r="P370" i="1"/>
  <c r="Q370" i="1" a="1"/>
  <c r="Q370" i="1" s="1"/>
  <c r="P287" i="1"/>
  <c r="Q287" i="1" a="1"/>
  <c r="Q287" i="1" s="1"/>
  <c r="P168" i="1"/>
  <c r="Q168" i="1" a="1"/>
  <c r="Q168" i="1" s="1"/>
  <c r="P263" i="1"/>
  <c r="Q263" i="1" a="1"/>
  <c r="Q263" i="1" s="1"/>
  <c r="P118" i="1"/>
  <c r="Q118" i="1" a="1"/>
  <c r="Q118" i="1" s="1"/>
  <c r="P202" i="1"/>
  <c r="Q202" i="1" a="1"/>
  <c r="Q202" i="1" s="1"/>
  <c r="P222" i="1"/>
  <c r="Q222" i="1" a="1"/>
  <c r="Q222" i="1" s="1"/>
  <c r="P314" i="1"/>
  <c r="Q314" i="1" a="1"/>
  <c r="Q314" i="1" s="1"/>
  <c r="P90" i="1"/>
  <c r="Q90" i="1" a="1"/>
  <c r="Q90" i="1" s="1"/>
  <c r="P333" i="1"/>
  <c r="Q333" i="1" a="1"/>
  <c r="Q333" i="1" s="1"/>
  <c r="P46" i="1"/>
  <c r="Q46" i="1" a="1"/>
  <c r="Q46" i="1" s="1"/>
  <c r="P396" i="1"/>
  <c r="Q396" i="1" a="1"/>
  <c r="Q396" i="1" s="1"/>
  <c r="P33" i="1"/>
  <c r="Q33" i="1" a="1"/>
  <c r="Q33" i="1" s="1"/>
  <c r="P137" i="1"/>
  <c r="Q137" i="1" a="1"/>
  <c r="Q137" i="1" s="1"/>
  <c r="P159" i="1"/>
  <c r="Q159" i="1" a="1"/>
  <c r="Q15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D30630-4210-4E96-9613-BF506D1037ED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155FE545-109F-4F41-B49B-58713A47FF0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3" xr16:uid="{3C21A23F-249A-4624-B970-660BC3038E16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4" xr16:uid="{AD7E6199-7DB5-422A-B1BD-365339BC09F9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<sst xmlns="http://schemas.openxmlformats.org/spreadsheetml/2006/main" count="843" uniqueCount="187">
  <si>
    <t>2001827036</t>
  </si>
  <si>
    <t>GIFTBOX202002</t>
  </si>
  <si>
    <t>SACHETS001</t>
  </si>
  <si>
    <t>2001825261</t>
  </si>
  <si>
    <t>2001823564</t>
  </si>
  <si>
    <t>2001822466</t>
  </si>
  <si>
    <t>2001821995</t>
  </si>
  <si>
    <t>2001821766</t>
  </si>
  <si>
    <t>2001821750</t>
  </si>
  <si>
    <t>2001821742</t>
  </si>
  <si>
    <t>2001821679</t>
  </si>
  <si>
    <t>2001821502</t>
  </si>
  <si>
    <t>2001821284</t>
  </si>
  <si>
    <t>2001821190</t>
  </si>
  <si>
    <t>2001821185</t>
  </si>
  <si>
    <t>2001820978</t>
  </si>
  <si>
    <t>2001820690</t>
  </si>
  <si>
    <t>2001819252</t>
  </si>
  <si>
    <t>2001818390</t>
  </si>
  <si>
    <t>2001817160</t>
  </si>
  <si>
    <t>2001817093</t>
  </si>
  <si>
    <t>2001816996</t>
  </si>
  <si>
    <t>2001816684</t>
  </si>
  <si>
    <t>2001816131</t>
  </si>
  <si>
    <t>2001815688</t>
  </si>
  <si>
    <t>2001814580</t>
  </si>
  <si>
    <t>2001813009</t>
  </si>
  <si>
    <t>2001812941</t>
  </si>
  <si>
    <t>2001812854</t>
  </si>
  <si>
    <t>GIFTBOX202003</t>
  </si>
  <si>
    <t>2001812838</t>
  </si>
  <si>
    <t>2001812650</t>
  </si>
  <si>
    <t>2001812195</t>
  </si>
  <si>
    <t>2001811809</t>
  </si>
  <si>
    <t>2001811604</t>
  </si>
  <si>
    <t>2001811475</t>
  </si>
  <si>
    <t>2001811466</t>
  </si>
  <si>
    <t>2001811363</t>
  </si>
  <si>
    <t>2001811306</t>
  </si>
  <si>
    <t>2001811305</t>
  </si>
  <si>
    <t>2001811229</t>
  </si>
  <si>
    <t>2001811192</t>
  </si>
  <si>
    <t>2001811153</t>
  </si>
  <si>
    <t>2001811058</t>
  </si>
  <si>
    <t>2001811039</t>
  </si>
  <si>
    <t>2001810697</t>
  </si>
  <si>
    <t>2001810549</t>
  </si>
  <si>
    <t>2001810281</t>
  </si>
  <si>
    <t>2001810125</t>
  </si>
  <si>
    <t>2001810104</t>
  </si>
  <si>
    <t>2001809934</t>
  </si>
  <si>
    <t>2001809917</t>
  </si>
  <si>
    <t>2001809820</t>
  </si>
  <si>
    <t>2001809794</t>
  </si>
  <si>
    <t>GIFTBOX202004</t>
  </si>
  <si>
    <t>2001809592</t>
  </si>
  <si>
    <t>2001809383</t>
  </si>
  <si>
    <t>2001809270</t>
  </si>
  <si>
    <t>2001808992</t>
  </si>
  <si>
    <t>2001808883</t>
  </si>
  <si>
    <t>2001808837</t>
  </si>
  <si>
    <t>2001808832</t>
  </si>
  <si>
    <t>2001808801</t>
  </si>
  <si>
    <t>2001808739</t>
  </si>
  <si>
    <t>2001808679</t>
  </si>
  <si>
    <t>2001808675</t>
  </si>
  <si>
    <t>GIFTBOX202001</t>
  </si>
  <si>
    <t>2001808585</t>
  </si>
  <si>
    <t>2001808542</t>
  </si>
  <si>
    <t>2001808507</t>
  </si>
  <si>
    <t>2001808475</t>
  </si>
  <si>
    <t>2001808295</t>
  </si>
  <si>
    <t>2001808286</t>
  </si>
  <si>
    <t>2001808207</t>
  </si>
  <si>
    <t>2001808118</t>
  </si>
  <si>
    <t>2001808102</t>
  </si>
  <si>
    <t>2001807981</t>
  </si>
  <si>
    <t>2001807976</t>
  </si>
  <si>
    <t>2001807970</t>
  </si>
  <si>
    <t>2001807960</t>
  </si>
  <si>
    <t>2001807956</t>
  </si>
  <si>
    <t>2001807931</t>
  </si>
  <si>
    <t>2001807930</t>
  </si>
  <si>
    <t>2001807852</t>
  </si>
  <si>
    <t>2001807814</t>
  </si>
  <si>
    <t>2001807785</t>
  </si>
  <si>
    <t>2001807613</t>
  </si>
  <si>
    <t>2001807415</t>
  </si>
  <si>
    <t>2001807362</t>
  </si>
  <si>
    <t>2001807329</t>
  </si>
  <si>
    <t>2001807328</t>
  </si>
  <si>
    <t>2001807290</t>
  </si>
  <si>
    <t>2001807241</t>
  </si>
  <si>
    <t>2001807186</t>
  </si>
  <si>
    <t>2001807084</t>
  </si>
  <si>
    <t>2001807058</t>
  </si>
  <si>
    <t>2001807036</t>
  </si>
  <si>
    <t>2001807012</t>
  </si>
  <si>
    <t>2001807004</t>
  </si>
  <si>
    <t>2001806968</t>
  </si>
  <si>
    <t>2001806885</t>
  </si>
  <si>
    <t>2001806828</t>
  </si>
  <si>
    <t>2001806823</t>
  </si>
  <si>
    <t>2001806801</t>
  </si>
  <si>
    <t>2001806776</t>
  </si>
  <si>
    <t>2001806768</t>
  </si>
  <si>
    <t>2001806735</t>
  </si>
  <si>
    <t>2001806733</t>
  </si>
  <si>
    <t>2001806726</t>
  </si>
  <si>
    <t>2001806686</t>
  </si>
  <si>
    <t>2001806652</t>
  </si>
  <si>
    <t>2001806616</t>
  </si>
  <si>
    <t>2001806575</t>
  </si>
  <si>
    <t>2001806567</t>
  </si>
  <si>
    <t>2001806547</t>
  </si>
  <si>
    <t>2001806533</t>
  </si>
  <si>
    <t>2001806471</t>
  </si>
  <si>
    <t>2001806458</t>
  </si>
  <si>
    <t>2001806446</t>
  </si>
  <si>
    <t>2001806408</t>
  </si>
  <si>
    <t>2001806338</t>
  </si>
  <si>
    <t>2001806304</t>
  </si>
  <si>
    <t>2001806273</t>
  </si>
  <si>
    <t>2001806251</t>
  </si>
  <si>
    <t>2001806233</t>
  </si>
  <si>
    <t>2001806232</t>
  </si>
  <si>
    <t>2001806229</t>
  </si>
  <si>
    <t>2001806226</t>
  </si>
  <si>
    <t>2001806210</t>
  </si>
  <si>
    <t>Order Qty</t>
  </si>
  <si>
    <t>Warehouse Pincode</t>
  </si>
  <si>
    <t>Customer Pincode</t>
  </si>
  <si>
    <t>Zone</t>
  </si>
  <si>
    <t>d</t>
  </si>
  <si>
    <t>b</t>
  </si>
  <si>
    <t>e</t>
  </si>
  <si>
    <t>Weight (g)</t>
  </si>
  <si>
    <t>AWB Code</t>
  </si>
  <si>
    <t>Order ID</t>
  </si>
  <si>
    <t>Charged Weight</t>
  </si>
  <si>
    <t>Type of Shipment</t>
  </si>
  <si>
    <t>Billing Amount (Rs.)</t>
  </si>
  <si>
    <t>Forward charges</t>
  </si>
  <si>
    <t>Forward and RTO charges</t>
  </si>
  <si>
    <t>fwd_a_fixed</t>
  </si>
  <si>
    <t>fwd_a_additional</t>
  </si>
  <si>
    <t>fwd_b_fixed</t>
  </si>
  <si>
    <t>fwd_b_additional</t>
  </si>
  <si>
    <t>fwd_c_fixed</t>
  </si>
  <si>
    <t>fwd_c_additional</t>
  </si>
  <si>
    <t>fwd_d_fixed</t>
  </si>
  <si>
    <t>fwd_d_additional</t>
  </si>
  <si>
    <t>fwd_e_fixed</t>
  </si>
  <si>
    <t>fwd_e_additional</t>
  </si>
  <si>
    <t>rto_a_fixed</t>
  </si>
  <si>
    <t>rto_a_additional</t>
  </si>
  <si>
    <t>rto_b_fixed</t>
  </si>
  <si>
    <t>rto_b_additional</t>
  </si>
  <si>
    <t>rto_c_fixed</t>
  </si>
  <si>
    <t>rto_c_additional</t>
  </si>
  <si>
    <t>rto_d_fixed</t>
  </si>
  <si>
    <t>rto_d_additional</t>
  </si>
  <si>
    <t>rto_e_fixed</t>
  </si>
  <si>
    <t>rto_e_additional</t>
  </si>
  <si>
    <t>SKU (Product Code)</t>
  </si>
  <si>
    <t>SKU (Product code)</t>
  </si>
  <si>
    <t>Product weight</t>
  </si>
  <si>
    <t>Row Labels</t>
  </si>
  <si>
    <t>Grand Total</t>
  </si>
  <si>
    <t>Weight per order (g)</t>
  </si>
  <si>
    <t>Weight per order (Kg)</t>
  </si>
  <si>
    <t>Weight slab</t>
  </si>
  <si>
    <t>OrderID</t>
  </si>
  <si>
    <t>Type of shipment</t>
  </si>
  <si>
    <t>Fixed_Charges</t>
  </si>
  <si>
    <t>Additional_Charges</t>
  </si>
  <si>
    <t>No_of_Extra_slabs</t>
  </si>
  <si>
    <t>Expected charges</t>
  </si>
  <si>
    <t>Billing Amount</t>
  </si>
  <si>
    <t>Difference</t>
  </si>
  <si>
    <t>Sum of Expected charges</t>
  </si>
  <si>
    <t>Sum of Billing Amount</t>
  </si>
  <si>
    <t>Sum of Difference</t>
  </si>
  <si>
    <t>Charge Type</t>
  </si>
  <si>
    <t>Correctly Charged</t>
  </si>
  <si>
    <t>Over Charged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</si>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</sst>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0" fontId="1" fillId="0" borderId="0" xfId="0" applyFont="1"/>
    <xf numFmtId="1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2" formatCode="0.00"/>
    </dxf>
    <dxf>
      <font>
        <b/>
      </font>
    </dxf>
    <dxf>
      <numFmt numFmtId="1" formatCode="0"/>
    </dxf>
    <dxf>
      <numFmt numFmtId="1" formatCode="0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cleaning.xlsx]Sheet6!PivotTable5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Orders Charge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Count of OrderID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Sheet6!$A$4:$A$6</c:f>
              <c:strCache>
                <c:ptCount val="2"/>
                <c:pt idx="0">
                  <c:v>Correctly Charged</c:v>
                </c:pt>
                <c:pt idx="1">
                  <c:v>Over Charged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41</c:v>
                </c:pt>
                <c:pt idx="1">
                  <c:v>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0-4F97-BF67-E3FE5DA19B68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Sum of Difference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Sheet6!$A$4:$A$6</c:f>
              <c:strCache>
                <c:ptCount val="2"/>
                <c:pt idx="0">
                  <c:v>Correctly Charged</c:v>
                </c:pt>
                <c:pt idx="1">
                  <c:v>Over Charged</c:v>
                </c:pt>
              </c:strCache>
            </c:strRef>
          </c:cat>
          <c:val>
            <c:numRef>
              <c:f>Sheet6!$C$4:$C$6</c:f>
              <c:numCache>
                <c:formatCode>General</c:formatCode>
                <c:ptCount val="2"/>
                <c:pt idx="0">
                  <c:v>0</c:v>
                </c:pt>
                <c:pt idx="1">
                  <c:v>31560.799999999832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20-4F97-BF67-E3FE5DA19B68}"/>
            </c:ext>
          </c:extLst>
        </c:ser>
        <c:ser>
          <c:idx val="2"/>
          <c:order val="2"/>
          <c:tx>
            <c:strRef>
              <c:f>Sheet6!$D$3</c:f>
              <c:strCache>
                <c:ptCount val="1"/>
                <c:pt idx="0">
                  <c:v>Sum of Billing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Sheet6!$A$4:$A$6</c:f>
              <c:strCache>
                <c:ptCount val="2"/>
                <c:pt idx="0">
                  <c:v>Correctly Charged</c:v>
                </c:pt>
                <c:pt idx="1">
                  <c:v>Over Charged</c:v>
                </c:pt>
              </c:strCache>
            </c:strRef>
          </c:cat>
          <c:val>
            <c:numRef>
              <c:f>Sheet6!$D$4:$D$6</c:f>
              <c:numCache>
                <c:formatCode>General</c:formatCode>
                <c:ptCount val="2"/>
                <c:pt idx="0">
                  <c:v>1737.400000000001</c:v>
                </c:pt>
                <c:pt idx="1">
                  <c:v>47567.199999999932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20-4F97-BF67-E3FE5DA19B68}"/>
            </c:ext>
          </c:extLst>
        </c:ser>
        <c:ser>
          <c:idx val="3"/>
          <c:order val="3"/>
          <c:tx>
            <c:strRef>
              <c:f>Sheet6!$E$3</c:f>
              <c:strCache>
                <c:ptCount val="1"/>
                <c:pt idx="0">
                  <c:v>Sum of Expected charges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Sheet6!$A$4:$A$6</c:f>
              <c:strCache>
                <c:ptCount val="2"/>
                <c:pt idx="0">
                  <c:v>Correctly Charged</c:v>
                </c:pt>
                <c:pt idx="1">
                  <c:v>Over Charged</c:v>
                </c:pt>
              </c:strCache>
            </c:strRef>
          </c:cat>
          <c:val>
            <c:numRef>
              <c:f>Sheet6!$E$4:$E$6</c:f>
              <c:numCache>
                <c:formatCode>General</c:formatCode>
                <c:ptCount val="2"/>
                <c:pt idx="0">
                  <c:v>1737.400000000001</c:v>
                </c:pt>
                <c:pt idx="1">
                  <c:v>16006.399999999936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D20-4F97-BF67-E3FE5DA19B6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1005840</xdr:colOff>
      <xdr:row>7</xdr:row>
      <xdr:rowOff>167640</xdr:rowOff>
    </xdr:from>
    <xdr:to>
      <xdr:col>7</xdr:col>
      <xdr:colOff>342900</xdr:colOff>
      <xdr:row>22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15A33-2196-9ECA-EEF8-5FE67112E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avani Ponakalapalli" refreshedDate="46072.806588078703" createdVersion="8" refreshedVersion="8" minRefreshableVersion="3" recordCount="400" xr:uid="{A48DA986-76A9-42B7-87EA-02DD8E549BCF}">
  <cacheSource type="worksheet">
    <worksheetSource name="Table1"/>
  </cacheSource>
  <cacheFields count="17">
    <cacheField name="Order ID" numFmtId="2">
      <sharedItems/>
    </cacheField>
    <cacheField name="OrderID" numFmtId="1">
      <sharedItems containsSemiMixedTypes="0" containsString="0" containsNumber="1" containsInteger="1" minValue="2001806210" maxValue="2001827036"/>
    </cacheField>
    <cacheField name="SKU (Product Code)" numFmtId="1">
      <sharedItems containsMixedTypes="1" containsNumber="1" containsInteger="1" minValue="8904223815682" maxValue="8904223819543"/>
    </cacheField>
    <cacheField name="Order Qty" numFmtId="0">
      <sharedItems containsSemiMixedTypes="0" containsString="0" containsNumber="1" containsInteger="1" minValue="1" maxValue="8"/>
    </cacheField>
    <cacheField name="Product weight" numFmtId="0">
      <sharedItems containsSemiMixedTypes="0" containsString="0" containsNumber="1" containsInteger="1" minValue="10" maxValue="600"/>
    </cacheField>
    <cacheField name="Weight per order (g)" numFmtId="0">
      <sharedItems containsSemiMixedTypes="0" containsString="0" containsNumber="1" containsInteger="1" minValue="10" maxValue="1104"/>
    </cacheField>
    <cacheField name="Weight per order (Kg)" numFmtId="0">
      <sharedItems containsSemiMixedTypes="0" containsString="0" containsNumber="1" minValue="0.01" maxValue="1.1040000000000001"/>
    </cacheField>
    <cacheField name="Weight slab" numFmtId="0">
      <sharedItems containsSemiMixedTypes="0" containsString="0" containsNumber="1" minValue="0.5" maxValue="1.5"/>
    </cacheField>
    <cacheField name="Zone" numFmtId="0">
      <sharedItems count="3">
        <s v="b"/>
        <s v="d"/>
        <s v="e"/>
      </sharedItems>
    </cacheField>
    <cacheField name="Type of shipment" numFmtId="0">
      <sharedItems/>
    </cacheField>
    <cacheField name="Fixed_Charges" numFmtId="0">
      <sharedItems containsSemiMixedTypes="0" containsString="0" containsNumber="1" minValue="33" maxValue="56.6"/>
    </cacheField>
    <cacheField name="Additional_Charges" numFmtId="0">
      <sharedItems containsSemiMixedTypes="0" containsString="0" containsNumber="1" minValue="28.3" maxValue="55.5"/>
    </cacheField>
    <cacheField name="No_of_Extra_slabs" numFmtId="0">
      <sharedItems containsSemiMixedTypes="0" containsString="0" containsNumber="1" containsInteger="1" minValue="0" maxValue="2"/>
    </cacheField>
    <cacheField name="Expected charges" numFmtId="0">
      <sharedItems containsSemiMixedTypes="0" containsString="0" containsNumber="1" minValue="33" maxValue="135"/>
    </cacheField>
    <cacheField name="Billing Amount" numFmtId="0">
      <sharedItems containsSemiMixedTypes="0" containsString="0" containsNumber="1" minValue="33" maxValue="403.8"/>
    </cacheField>
    <cacheField name="Difference" numFmtId="0">
      <sharedItems containsSemiMixedTypes="0" containsString="0" containsNumber="1" minValue="0" maxValue="358.40000000000003"/>
    </cacheField>
    <cacheField name="Charge Type" numFmtId="0">
      <sharedItems count="2">
        <s v="Over Charged"/>
        <s v="Correctly Charg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s v="2001827036"/>
    <n v="2001827036"/>
    <n v="8904223818706"/>
    <n v="1"/>
    <n v="127"/>
    <n v="127"/>
    <n v="0.127"/>
    <n v="0.5"/>
    <x v="0"/>
    <s v="Forward charges"/>
    <n v="33"/>
    <n v="28.3"/>
    <n v="0"/>
    <n v="33"/>
    <n v="117.9"/>
    <n v="84.9"/>
    <x v="0"/>
  </r>
  <r>
    <s v="2001827036"/>
    <n v="2001827036"/>
    <n v="8904223819093"/>
    <n v="1"/>
    <n v="150"/>
    <n v="150"/>
    <n v="0.15"/>
    <n v="0.5"/>
    <x v="0"/>
    <s v="Forward charges"/>
    <n v="33"/>
    <n v="28.3"/>
    <n v="0"/>
    <n v="33"/>
    <n v="117.9"/>
    <n v="84.9"/>
    <x v="0"/>
  </r>
  <r>
    <s v="2001827036"/>
    <n v="2001827036"/>
    <n v="8904223819109"/>
    <n v="1"/>
    <n v="100"/>
    <n v="100"/>
    <n v="0.1"/>
    <n v="0.5"/>
    <x v="0"/>
    <s v="Forward charges"/>
    <n v="33"/>
    <n v="28.3"/>
    <n v="0"/>
    <n v="33"/>
    <n v="117.9"/>
    <n v="84.9"/>
    <x v="0"/>
  </r>
  <r>
    <s v="2001827036"/>
    <n v="2001827036"/>
    <n v="8904223818430"/>
    <n v="1"/>
    <n v="165"/>
    <n v="165"/>
    <n v="0.16500000000000001"/>
    <n v="0.5"/>
    <x v="0"/>
    <s v="Forward charges"/>
    <n v="33"/>
    <n v="28.3"/>
    <n v="0"/>
    <n v="33"/>
    <n v="117.9"/>
    <n v="84.9"/>
    <x v="0"/>
  </r>
  <r>
    <s v="2001827036"/>
    <n v="2001827036"/>
    <n v="8904223819277"/>
    <n v="1"/>
    <n v="350"/>
    <n v="350"/>
    <n v="0.35"/>
    <n v="0.5"/>
    <x v="0"/>
    <s v="Forward charges"/>
    <n v="33"/>
    <n v="28.3"/>
    <n v="0"/>
    <n v="33"/>
    <n v="117.9"/>
    <n v="84.9"/>
    <x v="0"/>
  </r>
  <r>
    <s v="2001827036"/>
    <n v="2001827036"/>
    <s v="GIFTBOX202002"/>
    <n v="1"/>
    <n v="500"/>
    <n v="500"/>
    <n v="0.5"/>
    <n v="0.5"/>
    <x v="0"/>
    <s v="Forward charges"/>
    <n v="33"/>
    <n v="28.3"/>
    <n v="0"/>
    <n v="33"/>
    <n v="117.9"/>
    <n v="84.9"/>
    <x v="0"/>
  </r>
  <r>
    <s v="2001827036"/>
    <n v="2001827036"/>
    <n v="8904223818638"/>
    <n v="2"/>
    <n v="137"/>
    <n v="274"/>
    <n v="0.27400000000000002"/>
    <n v="0.5"/>
    <x v="0"/>
    <s v="Forward charges"/>
    <n v="33"/>
    <n v="28.3"/>
    <n v="0"/>
    <n v="33"/>
    <n v="117.9"/>
    <n v="84.9"/>
    <x v="0"/>
  </r>
  <r>
    <s v="2001827036"/>
    <n v="2001827036"/>
    <s v="SACHETS001"/>
    <n v="1"/>
    <n v="10"/>
    <n v="10"/>
    <n v="0.01"/>
    <n v="0.5"/>
    <x v="0"/>
    <s v="Forward charges"/>
    <n v="33"/>
    <n v="28.3"/>
    <n v="0"/>
    <n v="33"/>
    <n v="117.9"/>
    <n v="84.9"/>
    <x v="0"/>
  </r>
  <r>
    <s v="2001825261"/>
    <n v="2001825261"/>
    <n v="8904223819024"/>
    <n v="4"/>
    <n v="112"/>
    <n v="448"/>
    <n v="0.44800000000000001"/>
    <n v="0.5"/>
    <x v="1"/>
    <s v="Forward and RTO charges"/>
    <n v="45.4"/>
    <n v="44.8"/>
    <n v="0"/>
    <n v="45.4"/>
    <n v="345"/>
    <n v="299.60000000000002"/>
    <x v="0"/>
  </r>
  <r>
    <s v="2001825261"/>
    <n v="2001825261"/>
    <n v="8904223819291"/>
    <n v="4"/>
    <n v="112"/>
    <n v="448"/>
    <n v="0.44800000000000001"/>
    <n v="0.5"/>
    <x v="1"/>
    <s v="Forward and RTO charges"/>
    <n v="45.4"/>
    <n v="44.8"/>
    <n v="0"/>
    <n v="45.4"/>
    <n v="345"/>
    <n v="299.60000000000002"/>
    <x v="0"/>
  </r>
  <r>
    <s v="2001825261"/>
    <n v="2001825261"/>
    <n v="8904223818638"/>
    <n v="3"/>
    <n v="137"/>
    <n v="411"/>
    <n v="0.41099999999999998"/>
    <n v="0.5"/>
    <x v="1"/>
    <s v="Forward and RTO charges"/>
    <n v="45.4"/>
    <n v="44.8"/>
    <n v="0"/>
    <n v="45.4"/>
    <n v="345"/>
    <n v="299.60000000000002"/>
    <x v="0"/>
  </r>
  <r>
    <s v="2001825261"/>
    <n v="2001825261"/>
    <n v="8904223818669"/>
    <n v="1"/>
    <n v="240"/>
    <n v="240"/>
    <n v="0.24"/>
    <n v="0.5"/>
    <x v="1"/>
    <s v="Forward and RTO charges"/>
    <n v="45.4"/>
    <n v="44.8"/>
    <n v="0"/>
    <n v="45.4"/>
    <n v="345"/>
    <n v="299.60000000000002"/>
    <x v="0"/>
  </r>
  <r>
    <s v="2001825261"/>
    <n v="2001825261"/>
    <s v="SACHETS001"/>
    <n v="1"/>
    <n v="10"/>
    <n v="10"/>
    <n v="0.01"/>
    <n v="0.5"/>
    <x v="1"/>
    <s v="Forward and RTO charges"/>
    <n v="45.4"/>
    <n v="44.8"/>
    <n v="0"/>
    <n v="45.4"/>
    <n v="345"/>
    <n v="299.60000000000002"/>
    <x v="0"/>
  </r>
  <r>
    <s v="2001823564"/>
    <n v="2001823564"/>
    <n v="8904223819291"/>
    <n v="2"/>
    <n v="112"/>
    <n v="224"/>
    <n v="0.224"/>
    <n v="0.5"/>
    <x v="1"/>
    <s v="Forward and RTO charges"/>
    <n v="45.4"/>
    <n v="44.8"/>
    <n v="0"/>
    <n v="45.4"/>
    <n v="172.8"/>
    <n v="127.4"/>
    <x v="0"/>
  </r>
  <r>
    <s v="2001823564"/>
    <n v="2001823564"/>
    <n v="8904223819031"/>
    <n v="2"/>
    <n v="112"/>
    <n v="224"/>
    <n v="0.224"/>
    <n v="0.5"/>
    <x v="1"/>
    <s v="Forward and RTO charges"/>
    <n v="45.4"/>
    <n v="44.8"/>
    <n v="0"/>
    <n v="45.4"/>
    <n v="172.8"/>
    <n v="127.4"/>
    <x v="0"/>
  </r>
  <r>
    <s v="2001823564"/>
    <n v="2001823564"/>
    <n v="8904223819024"/>
    <n v="2"/>
    <n v="112"/>
    <n v="224"/>
    <n v="0.224"/>
    <n v="0.5"/>
    <x v="1"/>
    <s v="Forward and RTO charges"/>
    <n v="45.4"/>
    <n v="44.8"/>
    <n v="0"/>
    <n v="45.4"/>
    <n v="172.8"/>
    <n v="127.4"/>
    <x v="0"/>
  </r>
  <r>
    <s v="2001822466"/>
    <n v="2001822466"/>
    <n v="8904223819468"/>
    <n v="2"/>
    <n v="240"/>
    <n v="480"/>
    <n v="0.48"/>
    <n v="0.5"/>
    <x v="1"/>
    <s v="Forward charges"/>
    <n v="45.4"/>
    <n v="44.8"/>
    <n v="0"/>
    <n v="45.4"/>
    <n v="135"/>
    <n v="89.6"/>
    <x v="0"/>
  </r>
  <r>
    <s v="2001822466"/>
    <n v="2001822466"/>
    <n v="8904223819291"/>
    <n v="8"/>
    <n v="112"/>
    <n v="896"/>
    <n v="0.89600000000000002"/>
    <n v="1"/>
    <x v="1"/>
    <s v="Forward charges"/>
    <n v="45.4"/>
    <n v="44.8"/>
    <n v="1"/>
    <n v="90.199999999999989"/>
    <n v="135"/>
    <n v="44.800000000000011"/>
    <x v="0"/>
  </r>
  <r>
    <s v="2001821995"/>
    <n v="2001821995"/>
    <n v="8904223819130"/>
    <n v="1"/>
    <n v="350"/>
    <n v="350"/>
    <n v="0.35"/>
    <n v="0.5"/>
    <x v="1"/>
    <s v="Forward charges"/>
    <n v="45.4"/>
    <n v="44.8"/>
    <n v="0"/>
    <n v="45.4"/>
    <n v="45.4"/>
    <n v="0"/>
    <x v="1"/>
  </r>
  <r>
    <s v="2001821995"/>
    <n v="2001821995"/>
    <n v="8904223818706"/>
    <n v="1"/>
    <n v="127"/>
    <n v="127"/>
    <n v="0.127"/>
    <n v="0.5"/>
    <x v="1"/>
    <s v="Forward charges"/>
    <n v="45.4"/>
    <n v="44.8"/>
    <n v="0"/>
    <n v="45.4"/>
    <n v="45.4"/>
    <n v="0"/>
    <x v="1"/>
  </r>
  <r>
    <s v="2001821766"/>
    <n v="2001821766"/>
    <n v="8904223818591"/>
    <n v="2"/>
    <n v="120"/>
    <n v="240"/>
    <n v="0.24"/>
    <n v="0.5"/>
    <x v="1"/>
    <s v="Forward charges"/>
    <n v="45.4"/>
    <n v="44.8"/>
    <n v="0"/>
    <n v="45.4"/>
    <n v="45.4"/>
    <n v="0"/>
    <x v="1"/>
  </r>
  <r>
    <s v="2001821750"/>
    <n v="2001821750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21750"/>
    <n v="2001821750"/>
    <n v="8904223818430"/>
    <n v="1"/>
    <n v="165"/>
    <n v="165"/>
    <n v="0.16500000000000001"/>
    <n v="0.5"/>
    <x v="1"/>
    <s v="Forward charges"/>
    <n v="45.4"/>
    <n v="44.8"/>
    <n v="0"/>
    <n v="45.4"/>
    <n v="90.2"/>
    <n v="44.800000000000004"/>
    <x v="0"/>
  </r>
  <r>
    <s v="2001821750"/>
    <n v="2001821750"/>
    <n v="8904223819130"/>
    <n v="1"/>
    <n v="350"/>
    <n v="350"/>
    <n v="0.35"/>
    <n v="0.5"/>
    <x v="1"/>
    <s v="Forward charges"/>
    <n v="45.4"/>
    <n v="44.8"/>
    <n v="0"/>
    <n v="45.4"/>
    <n v="90.2"/>
    <n v="44.800000000000004"/>
    <x v="0"/>
  </r>
  <r>
    <s v="2001821742"/>
    <n v="2001821742"/>
    <n v="8904223819468"/>
    <n v="1"/>
    <n v="240"/>
    <n v="240"/>
    <n v="0.24"/>
    <n v="0.5"/>
    <x v="1"/>
    <s v="Forward charges"/>
    <n v="45.4"/>
    <n v="44.8"/>
    <n v="0"/>
    <n v="45.4"/>
    <n v="45.4"/>
    <n v="0"/>
    <x v="1"/>
  </r>
  <r>
    <s v="2001821679"/>
    <n v="2001821679"/>
    <n v="8904223818430"/>
    <n v="1"/>
    <n v="165"/>
    <n v="165"/>
    <n v="0.16500000000000001"/>
    <n v="0.5"/>
    <x v="1"/>
    <s v="Forward charges"/>
    <n v="45.4"/>
    <n v="44.8"/>
    <n v="0"/>
    <n v="45.4"/>
    <n v="45.4"/>
    <n v="0"/>
    <x v="1"/>
  </r>
  <r>
    <s v="2001821502"/>
    <n v="2001821502"/>
    <n v="8904223818980"/>
    <n v="1"/>
    <n v="110"/>
    <n v="110"/>
    <n v="0.11"/>
    <n v="0.5"/>
    <x v="1"/>
    <s v="Forward charges"/>
    <n v="45.4"/>
    <n v="44.8"/>
    <n v="0"/>
    <n v="45.4"/>
    <n v="90.2"/>
    <n v="44.800000000000004"/>
    <x v="0"/>
  </r>
  <r>
    <s v="2001821502"/>
    <n v="2001821502"/>
    <n v="8904223819031"/>
    <n v="2"/>
    <n v="112"/>
    <n v="224"/>
    <n v="0.224"/>
    <n v="0.5"/>
    <x v="1"/>
    <s v="Forward charges"/>
    <n v="45.4"/>
    <n v="44.8"/>
    <n v="0"/>
    <n v="45.4"/>
    <n v="90.2"/>
    <n v="44.800000000000004"/>
    <x v="0"/>
  </r>
  <r>
    <s v="2001821502"/>
    <n v="2001821502"/>
    <n v="8904223819024"/>
    <n v="2"/>
    <n v="112"/>
    <n v="224"/>
    <n v="0.224"/>
    <n v="0.5"/>
    <x v="1"/>
    <s v="Forward charges"/>
    <n v="45.4"/>
    <n v="44.8"/>
    <n v="0"/>
    <n v="45.4"/>
    <n v="90.2"/>
    <n v="44.800000000000004"/>
    <x v="0"/>
  </r>
  <r>
    <s v="2001821284"/>
    <n v="2001821284"/>
    <n v="8904223818614"/>
    <n v="1"/>
    <n v="65"/>
    <n v="65"/>
    <n v="6.5000000000000002E-2"/>
    <n v="0.5"/>
    <x v="1"/>
    <s v="Forward charges"/>
    <n v="45.4"/>
    <n v="44.8"/>
    <n v="0"/>
    <n v="45.4"/>
    <n v="45.4"/>
    <n v="0"/>
    <x v="1"/>
  </r>
  <r>
    <s v="2001821284"/>
    <n v="2001821284"/>
    <n v="8904223819024"/>
    <n v="1"/>
    <n v="112"/>
    <n v="112"/>
    <n v="0.112"/>
    <n v="0.5"/>
    <x v="1"/>
    <s v="Forward charges"/>
    <n v="45.4"/>
    <n v="44.8"/>
    <n v="0"/>
    <n v="45.4"/>
    <n v="45.4"/>
    <n v="0"/>
    <x v="1"/>
  </r>
  <r>
    <s v="2001821190"/>
    <n v="2001821190"/>
    <n v="8904223819321"/>
    <n v="1"/>
    <n v="600"/>
    <n v="600"/>
    <n v="0.6"/>
    <n v="1"/>
    <x v="1"/>
    <s v="Forward and RTO charges"/>
    <n v="45.4"/>
    <n v="44.8"/>
    <n v="1"/>
    <n v="90.199999999999989"/>
    <n v="258.89999999999998"/>
    <n v="168.7"/>
    <x v="0"/>
  </r>
  <r>
    <s v="2001821190"/>
    <n v="2001821190"/>
    <n v="8904223819338"/>
    <n v="1"/>
    <n v="600"/>
    <n v="600"/>
    <n v="0.6"/>
    <n v="1"/>
    <x v="1"/>
    <s v="Forward and RTO charges"/>
    <n v="45.4"/>
    <n v="44.8"/>
    <n v="1"/>
    <n v="90.199999999999989"/>
    <n v="258.89999999999998"/>
    <n v="168.7"/>
    <x v="0"/>
  </r>
  <r>
    <s v="2001821185"/>
    <n v="2001821185"/>
    <n v="8904223818942"/>
    <n v="2"/>
    <n v="133"/>
    <n v="266"/>
    <n v="0.26600000000000001"/>
    <n v="0.5"/>
    <x v="1"/>
    <s v="Forward charges"/>
    <n v="45.4"/>
    <n v="44.8"/>
    <n v="0"/>
    <n v="45.4"/>
    <n v="224.6"/>
    <n v="179.2"/>
    <x v="0"/>
  </r>
  <r>
    <s v="2001821185"/>
    <n v="2001821185"/>
    <n v="8904223818683"/>
    <n v="2"/>
    <n v="121"/>
    <n v="242"/>
    <n v="0.24199999999999999"/>
    <n v="0.5"/>
    <x v="1"/>
    <s v="Forward charges"/>
    <n v="45.4"/>
    <n v="44.8"/>
    <n v="0"/>
    <n v="45.4"/>
    <n v="224.6"/>
    <n v="179.2"/>
    <x v="0"/>
  </r>
  <r>
    <s v="2001821185"/>
    <n v="2001821185"/>
    <n v="8904223819239"/>
    <n v="1"/>
    <n v="290"/>
    <n v="290"/>
    <n v="0.28999999999999998"/>
    <n v="0.5"/>
    <x v="1"/>
    <s v="Forward charges"/>
    <n v="45.4"/>
    <n v="44.8"/>
    <n v="0"/>
    <n v="45.4"/>
    <n v="224.6"/>
    <n v="179.2"/>
    <x v="0"/>
  </r>
  <r>
    <s v="2001821185"/>
    <n v="2001821185"/>
    <n v="8904223819246"/>
    <n v="1"/>
    <n v="290"/>
    <n v="290"/>
    <n v="0.28999999999999998"/>
    <n v="0.5"/>
    <x v="1"/>
    <s v="Forward charges"/>
    <n v="45.4"/>
    <n v="44.8"/>
    <n v="0"/>
    <n v="45.4"/>
    <n v="224.6"/>
    <n v="179.2"/>
    <x v="0"/>
  </r>
  <r>
    <s v="2001821185"/>
    <n v="2001821185"/>
    <n v="8904223819253"/>
    <n v="1"/>
    <n v="290"/>
    <n v="290"/>
    <n v="0.28999999999999998"/>
    <n v="0.5"/>
    <x v="1"/>
    <s v="Forward charges"/>
    <n v="45.4"/>
    <n v="44.8"/>
    <n v="0"/>
    <n v="45.4"/>
    <n v="224.6"/>
    <n v="179.2"/>
    <x v="0"/>
  </r>
  <r>
    <s v="2001821185"/>
    <n v="2001821185"/>
    <n v="8904223818669"/>
    <n v="1"/>
    <n v="240"/>
    <n v="240"/>
    <n v="0.24"/>
    <n v="0.5"/>
    <x v="1"/>
    <s v="Forward charges"/>
    <n v="45.4"/>
    <n v="44.8"/>
    <n v="0"/>
    <n v="45.4"/>
    <n v="224.6"/>
    <n v="179.2"/>
    <x v="0"/>
  </r>
  <r>
    <s v="2001821185"/>
    <n v="2001821185"/>
    <n v="8904223819147"/>
    <n v="1"/>
    <n v="240"/>
    <n v="240"/>
    <n v="0.24"/>
    <n v="0.5"/>
    <x v="1"/>
    <s v="Forward charges"/>
    <n v="45.4"/>
    <n v="44.8"/>
    <n v="0"/>
    <n v="45.4"/>
    <n v="224.6"/>
    <n v="179.2"/>
    <x v="0"/>
  </r>
  <r>
    <s v="2001821185"/>
    <n v="2001821185"/>
    <n v="8904223818850"/>
    <n v="1"/>
    <n v="240"/>
    <n v="240"/>
    <n v="0.24"/>
    <n v="0.5"/>
    <x v="1"/>
    <s v="Forward charges"/>
    <n v="45.4"/>
    <n v="44.8"/>
    <n v="0"/>
    <n v="45.4"/>
    <n v="224.6"/>
    <n v="179.2"/>
    <x v="0"/>
  </r>
  <r>
    <s v="2001820978"/>
    <n v="2001820978"/>
    <n v="8904223815859"/>
    <n v="1"/>
    <n v="165"/>
    <n v="165"/>
    <n v="0.16500000000000001"/>
    <n v="0.5"/>
    <x v="1"/>
    <s v="Forward charges"/>
    <n v="45.4"/>
    <n v="44.8"/>
    <n v="0"/>
    <n v="45.4"/>
    <n v="45.4"/>
    <n v="0"/>
    <x v="1"/>
  </r>
  <r>
    <s v="2001820978"/>
    <n v="2001820978"/>
    <n v="8904223817501"/>
    <n v="1"/>
    <n v="350"/>
    <n v="350"/>
    <n v="0.35"/>
    <n v="0.5"/>
    <x v="1"/>
    <s v="Forward charges"/>
    <n v="45.4"/>
    <n v="44.8"/>
    <n v="0"/>
    <n v="45.4"/>
    <n v="45.4"/>
    <n v="0"/>
    <x v="1"/>
  </r>
  <r>
    <s v="2001820690"/>
    <n v="2001820690"/>
    <n v="8904223817273"/>
    <n v="1"/>
    <n v="65"/>
    <n v="65"/>
    <n v="6.5000000000000002E-2"/>
    <n v="0.5"/>
    <x v="1"/>
    <s v="Forward charges"/>
    <n v="45.4"/>
    <n v="44.8"/>
    <n v="0"/>
    <n v="45.4"/>
    <n v="45.4"/>
    <n v="0"/>
    <x v="1"/>
  </r>
  <r>
    <s v="2001819252"/>
    <n v="2001819252"/>
    <n v="8904223818942"/>
    <n v="1"/>
    <n v="133"/>
    <n v="133"/>
    <n v="0.13300000000000001"/>
    <n v="0.5"/>
    <x v="0"/>
    <s v="Forward charges"/>
    <n v="33"/>
    <n v="28.3"/>
    <n v="0"/>
    <n v="33"/>
    <n v="33"/>
    <n v="0"/>
    <x v="1"/>
  </r>
  <r>
    <s v="2001819252"/>
    <n v="2001819252"/>
    <n v="8904223818706"/>
    <n v="1"/>
    <n v="127"/>
    <n v="127"/>
    <n v="0.127"/>
    <n v="0.5"/>
    <x v="0"/>
    <s v="Forward charges"/>
    <n v="33"/>
    <n v="28.3"/>
    <n v="0"/>
    <n v="33"/>
    <n v="33"/>
    <n v="0"/>
    <x v="1"/>
  </r>
  <r>
    <s v="2001819252"/>
    <n v="2001819252"/>
    <s v="SACHETS001"/>
    <n v="1"/>
    <n v="10"/>
    <n v="10"/>
    <n v="0.01"/>
    <n v="0.5"/>
    <x v="0"/>
    <s v="Forward charges"/>
    <n v="33"/>
    <n v="28.3"/>
    <n v="0"/>
    <n v="33"/>
    <n v="33"/>
    <n v="0"/>
    <x v="1"/>
  </r>
  <r>
    <s v="2001818390"/>
    <n v="2001818390"/>
    <n v="8904223819147"/>
    <n v="1"/>
    <n v="240"/>
    <n v="240"/>
    <n v="0.24"/>
    <n v="0.5"/>
    <x v="2"/>
    <s v="Forward and RTO charges"/>
    <n v="56.6"/>
    <n v="55.5"/>
    <n v="0"/>
    <n v="56.6"/>
    <n v="213.5"/>
    <n v="156.9"/>
    <x v="0"/>
  </r>
  <r>
    <s v="2001818390"/>
    <n v="2001818390"/>
    <n v="8904223818935"/>
    <n v="4"/>
    <n v="120"/>
    <n v="480"/>
    <n v="0.48"/>
    <n v="0.5"/>
    <x v="2"/>
    <s v="Forward and RTO charges"/>
    <n v="56.6"/>
    <n v="55.5"/>
    <n v="0"/>
    <n v="56.6"/>
    <n v="213.5"/>
    <n v="156.9"/>
    <x v="0"/>
  </r>
  <r>
    <s v="2001818390"/>
    <n v="2001818390"/>
    <n v="8904223818683"/>
    <n v="1"/>
    <n v="121"/>
    <n v="121"/>
    <n v="0.121"/>
    <n v="0.5"/>
    <x v="2"/>
    <s v="Forward and RTO charges"/>
    <n v="56.6"/>
    <n v="55.5"/>
    <n v="0"/>
    <n v="56.6"/>
    <n v="213.5"/>
    <n v="156.9"/>
    <x v="0"/>
  </r>
  <r>
    <s v="2001817160"/>
    <n v="2001817160"/>
    <n v="8904223818478"/>
    <n v="1"/>
    <n v="350"/>
    <n v="350"/>
    <n v="0.35"/>
    <n v="0.5"/>
    <x v="1"/>
    <s v="Forward and RTO charges"/>
    <n v="45.4"/>
    <n v="44.8"/>
    <n v="0"/>
    <n v="45.4"/>
    <n v="172.8"/>
    <n v="127.4"/>
    <x v="0"/>
  </r>
  <r>
    <s v="2001817160"/>
    <n v="2001817160"/>
    <n v="8904223819284"/>
    <n v="1"/>
    <n v="350"/>
    <n v="350"/>
    <n v="0.35"/>
    <n v="0.5"/>
    <x v="1"/>
    <s v="Forward and RTO charges"/>
    <n v="45.4"/>
    <n v="44.8"/>
    <n v="0"/>
    <n v="45.4"/>
    <n v="172.8"/>
    <n v="127.4"/>
    <x v="0"/>
  </r>
  <r>
    <s v="2001817093"/>
    <n v="2001817093"/>
    <n v="8904223816214"/>
    <n v="1"/>
    <n v="120"/>
    <n v="120"/>
    <n v="0.12"/>
    <n v="0.5"/>
    <x v="0"/>
    <s v="Forward and RTO charges"/>
    <n v="33"/>
    <n v="28.3"/>
    <n v="0"/>
    <n v="33"/>
    <n v="151.1"/>
    <n v="118.1"/>
    <x v="0"/>
  </r>
  <r>
    <s v="2001817093"/>
    <n v="2001817093"/>
    <n v="8904223818874"/>
    <n v="1"/>
    <n v="100"/>
    <n v="100"/>
    <n v="0.1"/>
    <n v="0.5"/>
    <x v="0"/>
    <s v="Forward and RTO charges"/>
    <n v="33"/>
    <n v="28.3"/>
    <n v="0"/>
    <n v="33"/>
    <n v="151.1"/>
    <n v="118.1"/>
    <x v="0"/>
  </r>
  <r>
    <s v="2001817093"/>
    <n v="2001817093"/>
    <n v="8904223819512"/>
    <n v="1"/>
    <n v="210"/>
    <n v="210"/>
    <n v="0.21"/>
    <n v="0.5"/>
    <x v="0"/>
    <s v="Forward and RTO charges"/>
    <n v="33"/>
    <n v="28.3"/>
    <n v="0"/>
    <n v="33"/>
    <n v="151.1"/>
    <n v="118.1"/>
    <x v="0"/>
  </r>
  <r>
    <s v="2001817093"/>
    <n v="2001817093"/>
    <n v="8904223818881"/>
    <n v="1"/>
    <n v="140"/>
    <n v="140"/>
    <n v="0.14000000000000001"/>
    <n v="0.5"/>
    <x v="0"/>
    <s v="Forward and RTO charges"/>
    <n v="33"/>
    <n v="28.3"/>
    <n v="0"/>
    <n v="33"/>
    <n v="151.1"/>
    <n v="118.1"/>
    <x v="0"/>
  </r>
  <r>
    <s v="2001817093"/>
    <n v="2001817093"/>
    <n v="8904223819291"/>
    <n v="2"/>
    <n v="112"/>
    <n v="224"/>
    <n v="0.224"/>
    <n v="0.5"/>
    <x v="0"/>
    <s v="Forward and RTO charges"/>
    <n v="33"/>
    <n v="28.3"/>
    <n v="0"/>
    <n v="33"/>
    <n v="151.1"/>
    <n v="118.1"/>
    <x v="0"/>
  </r>
  <r>
    <s v="2001817093"/>
    <n v="2001817093"/>
    <n v="8904223819031"/>
    <n v="2"/>
    <n v="112"/>
    <n v="224"/>
    <n v="0.224"/>
    <n v="0.5"/>
    <x v="0"/>
    <s v="Forward and RTO charges"/>
    <n v="33"/>
    <n v="28.3"/>
    <n v="0"/>
    <n v="33"/>
    <n v="151.1"/>
    <n v="118.1"/>
    <x v="0"/>
  </r>
  <r>
    <s v="2001817093"/>
    <n v="2001817093"/>
    <n v="8904223819024"/>
    <n v="2"/>
    <n v="112"/>
    <n v="224"/>
    <n v="0.224"/>
    <n v="0.5"/>
    <x v="0"/>
    <s v="Forward and RTO charges"/>
    <n v="33"/>
    <n v="28.3"/>
    <n v="0"/>
    <n v="33"/>
    <n v="151.1"/>
    <n v="118.1"/>
    <x v="0"/>
  </r>
  <r>
    <s v="2001817093"/>
    <n v="2001817093"/>
    <n v="8904223818553"/>
    <n v="1"/>
    <n v="115"/>
    <n v="115"/>
    <n v="0.115"/>
    <n v="0.5"/>
    <x v="0"/>
    <s v="Forward and RTO charges"/>
    <n v="33"/>
    <n v="28.3"/>
    <n v="0"/>
    <n v="33"/>
    <n v="151.1"/>
    <n v="118.1"/>
    <x v="0"/>
  </r>
  <r>
    <s v="2001816996"/>
    <n v="2001816996"/>
    <n v="8904223818706"/>
    <n v="1"/>
    <n v="127"/>
    <n v="127"/>
    <n v="0.127"/>
    <n v="0.5"/>
    <x v="1"/>
    <s v="Forward charges"/>
    <n v="45.4"/>
    <n v="44.8"/>
    <n v="0"/>
    <n v="45.4"/>
    <n v="45.4"/>
    <n v="0"/>
    <x v="1"/>
  </r>
  <r>
    <s v="2001816996"/>
    <n v="2001816996"/>
    <n v="8904223818942"/>
    <n v="1"/>
    <n v="133"/>
    <n v="133"/>
    <n v="0.13300000000000001"/>
    <n v="0.5"/>
    <x v="1"/>
    <s v="Forward charges"/>
    <n v="45.4"/>
    <n v="44.8"/>
    <n v="0"/>
    <n v="45.4"/>
    <n v="45.4"/>
    <n v="0"/>
    <x v="1"/>
  </r>
  <r>
    <s v="2001816996"/>
    <n v="2001816996"/>
    <n v="8904223818850"/>
    <n v="1"/>
    <n v="240"/>
    <n v="240"/>
    <n v="0.24"/>
    <n v="0.5"/>
    <x v="1"/>
    <s v="Forward charges"/>
    <n v="45.4"/>
    <n v="44.8"/>
    <n v="0"/>
    <n v="45.4"/>
    <n v="45.4"/>
    <n v="0"/>
    <x v="1"/>
  </r>
  <r>
    <s v="2001816684"/>
    <n v="2001816684"/>
    <n v="8904223816214"/>
    <n v="2"/>
    <n v="120"/>
    <n v="240"/>
    <n v="0.24"/>
    <n v="0.5"/>
    <x v="1"/>
    <s v="Forward and RTO charges"/>
    <n v="45.4"/>
    <n v="44.8"/>
    <n v="0"/>
    <n v="45.4"/>
    <n v="172.8"/>
    <n v="127.4"/>
    <x v="0"/>
  </r>
  <r>
    <s v="2001816684"/>
    <n v="2001816684"/>
    <n v="8904223818874"/>
    <n v="2"/>
    <n v="100"/>
    <n v="200"/>
    <n v="0.2"/>
    <n v="0.5"/>
    <x v="1"/>
    <s v="Forward and RTO charges"/>
    <n v="45.4"/>
    <n v="44.8"/>
    <n v="0"/>
    <n v="45.4"/>
    <n v="172.8"/>
    <n v="127.4"/>
    <x v="0"/>
  </r>
  <r>
    <s v="2001816684"/>
    <n v="2001816684"/>
    <n v="8904223818935"/>
    <n v="4"/>
    <n v="120"/>
    <n v="480"/>
    <n v="0.48"/>
    <n v="0.5"/>
    <x v="1"/>
    <s v="Forward and RTO charges"/>
    <n v="45.4"/>
    <n v="44.8"/>
    <n v="0"/>
    <n v="45.4"/>
    <n v="172.8"/>
    <n v="127.4"/>
    <x v="0"/>
  </r>
  <r>
    <s v="2001816131"/>
    <n v="2001816131"/>
    <n v="8904223816665"/>
    <n v="2"/>
    <n v="102"/>
    <n v="204"/>
    <n v="0.20399999999999999"/>
    <n v="0.5"/>
    <x v="1"/>
    <s v="Forward charges"/>
    <n v="45.4"/>
    <n v="44.8"/>
    <n v="0"/>
    <n v="45.4"/>
    <n v="90.2"/>
    <n v="44.800000000000004"/>
    <x v="0"/>
  </r>
  <r>
    <s v="2001816131"/>
    <n v="2001816131"/>
    <n v="8904223819277"/>
    <n v="1"/>
    <n v="350"/>
    <n v="350"/>
    <n v="0.35"/>
    <n v="0.5"/>
    <x v="1"/>
    <s v="Forward charges"/>
    <n v="45.4"/>
    <n v="44.8"/>
    <n v="0"/>
    <n v="45.4"/>
    <n v="90.2"/>
    <n v="44.800000000000004"/>
    <x v="0"/>
  </r>
  <r>
    <s v="2001815688"/>
    <n v="2001815688"/>
    <n v="8904223816214"/>
    <n v="1"/>
    <n v="120"/>
    <n v="120"/>
    <n v="0.12"/>
    <n v="0.5"/>
    <x v="1"/>
    <s v="Forward charges"/>
    <n v="45.4"/>
    <n v="44.8"/>
    <n v="0"/>
    <n v="45.4"/>
    <n v="45.4"/>
    <n v="0"/>
    <x v="1"/>
  </r>
  <r>
    <s v="2001815688"/>
    <n v="2001815688"/>
    <n v="8904223818874"/>
    <n v="1"/>
    <n v="100"/>
    <n v="100"/>
    <n v="0.1"/>
    <n v="0.5"/>
    <x v="1"/>
    <s v="Forward charges"/>
    <n v="45.4"/>
    <n v="44.8"/>
    <n v="0"/>
    <n v="45.4"/>
    <n v="45.4"/>
    <n v="0"/>
    <x v="1"/>
  </r>
  <r>
    <s v="2001814580"/>
    <n v="2001814580"/>
    <n v="8904223818706"/>
    <n v="1"/>
    <n v="127"/>
    <n v="127"/>
    <n v="0.127"/>
    <n v="0.5"/>
    <x v="1"/>
    <s v="Forward and RTO charges"/>
    <n v="45.4"/>
    <n v="44.8"/>
    <n v="0"/>
    <n v="45.4"/>
    <n v="86.7"/>
    <n v="41.300000000000004"/>
    <x v="0"/>
  </r>
  <r>
    <s v="2001813009"/>
    <n v="2001813009"/>
    <n v="8904223816214"/>
    <n v="1"/>
    <n v="120"/>
    <n v="120"/>
    <n v="0.12"/>
    <n v="0.5"/>
    <x v="1"/>
    <s v="Forward charges"/>
    <n v="45.4"/>
    <n v="44.8"/>
    <n v="0"/>
    <n v="45.4"/>
    <n v="90.2"/>
    <n v="44.800000000000004"/>
    <x v="0"/>
  </r>
  <r>
    <s v="2001813009"/>
    <n v="2001813009"/>
    <n v="8904223818874"/>
    <n v="1"/>
    <n v="100"/>
    <n v="100"/>
    <n v="0.1"/>
    <n v="0.5"/>
    <x v="1"/>
    <s v="Forward charges"/>
    <n v="45.4"/>
    <n v="44.8"/>
    <n v="0"/>
    <n v="45.4"/>
    <n v="90.2"/>
    <n v="44.800000000000004"/>
    <x v="0"/>
  </r>
  <r>
    <s v="2001813009"/>
    <n v="2001813009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13009"/>
    <n v="2001813009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13009"/>
    <n v="2001813009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12941"/>
    <n v="2001812941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12941"/>
    <n v="2001812941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12941"/>
    <n v="2001812941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12854"/>
    <n v="2001812854"/>
    <n v="8904223818478"/>
    <n v="1"/>
    <n v="350"/>
    <n v="350"/>
    <n v="0.35"/>
    <n v="0.5"/>
    <x v="1"/>
    <s v="Forward charges"/>
    <n v="45.4"/>
    <n v="44.8"/>
    <n v="0"/>
    <n v="45.4"/>
    <n v="269.39999999999998"/>
    <n v="223.99999999999997"/>
    <x v="0"/>
  </r>
  <r>
    <s v="2001812854"/>
    <n v="2001812854"/>
    <n v="8904223819130"/>
    <n v="1"/>
    <n v="350"/>
    <n v="350"/>
    <n v="0.35"/>
    <n v="0.5"/>
    <x v="1"/>
    <s v="Forward charges"/>
    <n v="45.4"/>
    <n v="44.8"/>
    <n v="0"/>
    <n v="45.4"/>
    <n v="269.39999999999998"/>
    <n v="223.99999999999997"/>
    <x v="0"/>
  </r>
  <r>
    <s v="2001812854"/>
    <n v="2001812854"/>
    <n v="8904223819277"/>
    <n v="1"/>
    <n v="350"/>
    <n v="350"/>
    <n v="0.35"/>
    <n v="0.5"/>
    <x v="1"/>
    <s v="Forward charges"/>
    <n v="45.4"/>
    <n v="44.8"/>
    <n v="0"/>
    <n v="45.4"/>
    <n v="269.39999999999998"/>
    <n v="223.99999999999997"/>
    <x v="0"/>
  </r>
  <r>
    <s v="2001812854"/>
    <n v="2001812854"/>
    <n v="8904223819284"/>
    <n v="1"/>
    <n v="350"/>
    <n v="350"/>
    <n v="0.35"/>
    <n v="0.5"/>
    <x v="1"/>
    <s v="Forward charges"/>
    <n v="45.4"/>
    <n v="44.8"/>
    <n v="0"/>
    <n v="45.4"/>
    <n v="269.39999999999998"/>
    <n v="223.99999999999997"/>
    <x v="0"/>
  </r>
  <r>
    <s v="2001812854"/>
    <n v="2001812854"/>
    <s v="GIFTBOX202003"/>
    <n v="1"/>
    <n v="500"/>
    <n v="500"/>
    <n v="0.5"/>
    <n v="0.5"/>
    <x v="1"/>
    <s v="Forward charges"/>
    <n v="45.4"/>
    <n v="44.8"/>
    <n v="0"/>
    <n v="45.4"/>
    <n v="269.39999999999998"/>
    <n v="223.99999999999997"/>
    <x v="0"/>
  </r>
  <r>
    <s v="2001812854"/>
    <n v="2001812854"/>
    <n v="8904223819291"/>
    <n v="2"/>
    <n v="112"/>
    <n v="224"/>
    <n v="0.224"/>
    <n v="0.5"/>
    <x v="1"/>
    <s v="Forward charges"/>
    <n v="45.4"/>
    <n v="44.8"/>
    <n v="0"/>
    <n v="45.4"/>
    <n v="269.39999999999998"/>
    <n v="223.99999999999997"/>
    <x v="0"/>
  </r>
  <r>
    <s v="2001812854"/>
    <n v="2001812854"/>
    <n v="8904223819031"/>
    <n v="2"/>
    <n v="112"/>
    <n v="224"/>
    <n v="0.224"/>
    <n v="0.5"/>
    <x v="1"/>
    <s v="Forward charges"/>
    <n v="45.4"/>
    <n v="44.8"/>
    <n v="0"/>
    <n v="45.4"/>
    <n v="269.39999999999998"/>
    <n v="223.99999999999997"/>
    <x v="0"/>
  </r>
  <r>
    <s v="2001812854"/>
    <n v="2001812854"/>
    <n v="8904223819024"/>
    <n v="2"/>
    <n v="112"/>
    <n v="224"/>
    <n v="0.224"/>
    <n v="0.5"/>
    <x v="1"/>
    <s v="Forward charges"/>
    <n v="45.4"/>
    <n v="44.8"/>
    <n v="0"/>
    <n v="45.4"/>
    <n v="269.39999999999998"/>
    <n v="223.99999999999997"/>
    <x v="0"/>
  </r>
  <r>
    <s v="2001812838"/>
    <n v="2001812838"/>
    <n v="8904223818980"/>
    <n v="1"/>
    <n v="110"/>
    <n v="110"/>
    <n v="0.11"/>
    <n v="0.5"/>
    <x v="0"/>
    <s v="Forward and RTO charges"/>
    <n v="33"/>
    <n v="28.3"/>
    <n v="0"/>
    <n v="33"/>
    <n v="102.3"/>
    <n v="69.3"/>
    <x v="0"/>
  </r>
  <r>
    <s v="2001812838"/>
    <n v="2001812838"/>
    <n v="8904223819031"/>
    <n v="4"/>
    <n v="112"/>
    <n v="448"/>
    <n v="0.44800000000000001"/>
    <n v="0.5"/>
    <x v="0"/>
    <s v="Forward and RTO charges"/>
    <n v="33"/>
    <n v="28.3"/>
    <n v="0"/>
    <n v="33"/>
    <n v="102.3"/>
    <n v="69.3"/>
    <x v="0"/>
  </r>
  <r>
    <s v="2001812650"/>
    <n v="2001812650"/>
    <n v="8904223819031"/>
    <n v="4"/>
    <n v="112"/>
    <n v="448"/>
    <n v="0.44800000000000001"/>
    <n v="0.5"/>
    <x v="1"/>
    <s v="Forward charges"/>
    <n v="45.4"/>
    <n v="44.8"/>
    <n v="0"/>
    <n v="45.4"/>
    <n v="90.2"/>
    <n v="44.800000000000004"/>
    <x v="0"/>
  </r>
  <r>
    <s v="2001812650"/>
    <n v="2001812650"/>
    <n v="8904223819017"/>
    <n v="1"/>
    <n v="115"/>
    <n v="115"/>
    <n v="0.115"/>
    <n v="0.5"/>
    <x v="1"/>
    <s v="Forward charges"/>
    <n v="45.4"/>
    <n v="44.8"/>
    <n v="0"/>
    <n v="45.4"/>
    <n v="90.2"/>
    <n v="44.800000000000004"/>
    <x v="0"/>
  </r>
  <r>
    <s v="2001812195"/>
    <n v="2001812195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12195"/>
    <n v="2001812195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12195"/>
    <n v="2001812195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11809"/>
    <n v="2001811809"/>
    <n v="8904223818706"/>
    <n v="1"/>
    <n v="127"/>
    <n v="127"/>
    <n v="0.127"/>
    <n v="0.5"/>
    <x v="1"/>
    <s v="Forward and RTO charges"/>
    <n v="45.4"/>
    <n v="44.8"/>
    <n v="0"/>
    <n v="45.4"/>
    <n v="86.7"/>
    <n v="41.300000000000004"/>
    <x v="0"/>
  </r>
  <r>
    <s v="2001811809"/>
    <n v="2001811809"/>
    <n v="8904223818942"/>
    <n v="1"/>
    <n v="133"/>
    <n v="133"/>
    <n v="0.13300000000000001"/>
    <n v="0.5"/>
    <x v="1"/>
    <s v="Forward and RTO charges"/>
    <n v="45.4"/>
    <n v="44.8"/>
    <n v="0"/>
    <n v="45.4"/>
    <n v="86.7"/>
    <n v="41.300000000000004"/>
    <x v="0"/>
  </r>
  <r>
    <s v="2001811809"/>
    <n v="2001811809"/>
    <n v="8904223818850"/>
    <n v="1"/>
    <n v="240"/>
    <n v="240"/>
    <n v="0.24"/>
    <n v="0.5"/>
    <x v="1"/>
    <s v="Forward and RTO charges"/>
    <n v="45.4"/>
    <n v="44.8"/>
    <n v="0"/>
    <n v="45.4"/>
    <n v="86.7"/>
    <n v="41.300000000000004"/>
    <x v="0"/>
  </r>
  <r>
    <s v="2001811604"/>
    <n v="2001811604"/>
    <n v="8904223816214"/>
    <n v="1"/>
    <n v="120"/>
    <n v="120"/>
    <n v="0.12"/>
    <n v="0.5"/>
    <x v="0"/>
    <s v="Forward charges"/>
    <n v="33"/>
    <n v="28.3"/>
    <n v="0"/>
    <n v="33"/>
    <n v="61.3"/>
    <n v="28.299999999999997"/>
    <x v="0"/>
  </r>
  <r>
    <s v="2001811604"/>
    <n v="2001811604"/>
    <n v="8904223818669"/>
    <n v="2"/>
    <n v="240"/>
    <n v="480"/>
    <n v="0.48"/>
    <n v="0.5"/>
    <x v="0"/>
    <s v="Forward charges"/>
    <n v="33"/>
    <n v="28.3"/>
    <n v="0"/>
    <n v="33"/>
    <n v="61.3"/>
    <n v="28.299999999999997"/>
    <x v="0"/>
  </r>
  <r>
    <s v="2001811604"/>
    <n v="2001811604"/>
    <n v="8904223818683"/>
    <n v="1"/>
    <n v="121"/>
    <n v="121"/>
    <n v="0.121"/>
    <n v="0.5"/>
    <x v="0"/>
    <s v="Forward charges"/>
    <n v="33"/>
    <n v="28.3"/>
    <n v="0"/>
    <n v="33"/>
    <n v="61.3"/>
    <n v="28.299999999999997"/>
    <x v="0"/>
  </r>
  <r>
    <s v="2001811475"/>
    <n v="2001811475"/>
    <n v="8904223818706"/>
    <n v="1"/>
    <n v="127"/>
    <n v="127"/>
    <n v="0.127"/>
    <n v="0.5"/>
    <x v="0"/>
    <s v="Forward charges"/>
    <n v="33"/>
    <n v="28.3"/>
    <n v="0"/>
    <n v="33"/>
    <n v="33"/>
    <n v="0"/>
    <x v="1"/>
  </r>
  <r>
    <s v="2001811475"/>
    <n v="2001811475"/>
    <n v="8904223818669"/>
    <n v="1"/>
    <n v="240"/>
    <n v="240"/>
    <n v="0.24"/>
    <n v="0.5"/>
    <x v="0"/>
    <s v="Forward charges"/>
    <n v="33"/>
    <n v="28.3"/>
    <n v="0"/>
    <n v="33"/>
    <n v="33"/>
    <n v="0"/>
    <x v="1"/>
  </r>
  <r>
    <s v="2001811475"/>
    <n v="2001811475"/>
    <n v="8904223819499"/>
    <n v="1"/>
    <n v="210"/>
    <n v="210"/>
    <n v="0.21"/>
    <n v="0.5"/>
    <x v="0"/>
    <s v="Forward charges"/>
    <n v="33"/>
    <n v="28.3"/>
    <n v="0"/>
    <n v="33"/>
    <n v="33"/>
    <n v="0"/>
    <x v="1"/>
  </r>
  <r>
    <s v="2001811475"/>
    <n v="2001811475"/>
    <n v="8904223819031"/>
    <n v="1"/>
    <n v="112"/>
    <n v="112"/>
    <n v="0.112"/>
    <n v="0.5"/>
    <x v="0"/>
    <s v="Forward charges"/>
    <n v="33"/>
    <n v="28.3"/>
    <n v="0"/>
    <n v="33"/>
    <n v="33"/>
    <n v="0"/>
    <x v="1"/>
  </r>
  <r>
    <s v="2001811466"/>
    <n v="2001811466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11466"/>
    <n v="2001811466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11466"/>
    <n v="2001811466"/>
    <n v="8904223819468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11363"/>
    <n v="2001811363"/>
    <n v="8904223815859"/>
    <n v="1"/>
    <n v="165"/>
    <n v="165"/>
    <n v="0.16500000000000001"/>
    <n v="0.5"/>
    <x v="1"/>
    <s v="Forward charges"/>
    <n v="45.4"/>
    <n v="44.8"/>
    <n v="0"/>
    <n v="45.4"/>
    <n v="90.2"/>
    <n v="44.800000000000004"/>
    <x v="0"/>
  </r>
  <r>
    <s v="2001811363"/>
    <n v="2001811363"/>
    <n v="8904223818751"/>
    <n v="1"/>
    <n v="113"/>
    <n v="113"/>
    <n v="0.113"/>
    <n v="0.5"/>
    <x v="1"/>
    <s v="Forward charges"/>
    <n v="45.4"/>
    <n v="44.8"/>
    <n v="0"/>
    <n v="45.4"/>
    <n v="90.2"/>
    <n v="44.800000000000004"/>
    <x v="0"/>
  </r>
  <r>
    <s v="2001811363"/>
    <n v="2001811363"/>
    <n v="8904223815873"/>
    <n v="1"/>
    <n v="65"/>
    <n v="65"/>
    <n v="6.5000000000000002E-2"/>
    <n v="0.5"/>
    <x v="1"/>
    <s v="Forward charges"/>
    <n v="45.4"/>
    <n v="44.8"/>
    <n v="0"/>
    <n v="45.4"/>
    <n v="90.2"/>
    <n v="44.800000000000004"/>
    <x v="0"/>
  </r>
  <r>
    <s v="2001811363"/>
    <n v="2001811363"/>
    <n v="8904223815859"/>
    <n v="1"/>
    <n v="165"/>
    <n v="165"/>
    <n v="0.16500000000000001"/>
    <n v="0.5"/>
    <x v="1"/>
    <s v="Forward charges"/>
    <n v="45.4"/>
    <n v="44.8"/>
    <n v="0"/>
    <n v="45.4"/>
    <n v="90.2"/>
    <n v="44.800000000000004"/>
    <x v="0"/>
  </r>
  <r>
    <s v="2001811306"/>
    <n v="2001811306"/>
    <n v="8904223819352"/>
    <n v="1"/>
    <n v="165"/>
    <n v="165"/>
    <n v="0.16500000000000001"/>
    <n v="0.5"/>
    <x v="1"/>
    <s v="Forward charges"/>
    <n v="45.4"/>
    <n v="44.8"/>
    <n v="0"/>
    <n v="45.4"/>
    <n v="135"/>
    <n v="89.6"/>
    <x v="0"/>
  </r>
  <r>
    <s v="2001811306"/>
    <n v="2001811306"/>
    <n v="8904223819543"/>
    <n v="1"/>
    <n v="300"/>
    <n v="300"/>
    <n v="0.3"/>
    <n v="0.5"/>
    <x v="1"/>
    <s v="Forward charges"/>
    <n v="45.4"/>
    <n v="44.8"/>
    <n v="0"/>
    <n v="45.4"/>
    <n v="135"/>
    <n v="89.6"/>
    <x v="0"/>
  </r>
  <r>
    <s v="2001811306"/>
    <n v="2001811306"/>
    <n v="8904223819147"/>
    <n v="1"/>
    <n v="240"/>
    <n v="240"/>
    <n v="0.24"/>
    <n v="0.5"/>
    <x v="1"/>
    <s v="Forward charges"/>
    <n v="45.4"/>
    <n v="44.8"/>
    <n v="0"/>
    <n v="45.4"/>
    <n v="135"/>
    <n v="89.6"/>
    <x v="0"/>
  </r>
  <r>
    <s v="2001811306"/>
    <n v="2001811306"/>
    <n v="8904223819468"/>
    <n v="1"/>
    <n v="240"/>
    <n v="240"/>
    <n v="0.24"/>
    <n v="0.5"/>
    <x v="1"/>
    <s v="Forward charges"/>
    <n v="45.4"/>
    <n v="44.8"/>
    <n v="0"/>
    <n v="45.4"/>
    <n v="135"/>
    <n v="89.6"/>
    <x v="0"/>
  </r>
  <r>
    <s v="2001811305"/>
    <n v="2001811305"/>
    <n v="8904223816214"/>
    <n v="1"/>
    <n v="120"/>
    <n v="120"/>
    <n v="0.12"/>
    <n v="0.5"/>
    <x v="1"/>
    <s v="Forward charges"/>
    <n v="45.4"/>
    <n v="44.8"/>
    <n v="0"/>
    <n v="45.4"/>
    <n v="45.4"/>
    <n v="0"/>
    <x v="1"/>
  </r>
  <r>
    <s v="2001811305"/>
    <n v="2001811305"/>
    <n v="8904223819499"/>
    <n v="1"/>
    <n v="210"/>
    <n v="210"/>
    <n v="0.21"/>
    <n v="0.5"/>
    <x v="1"/>
    <s v="Forward charges"/>
    <n v="45.4"/>
    <n v="44.8"/>
    <n v="0"/>
    <n v="45.4"/>
    <n v="45.4"/>
    <n v="0"/>
    <x v="1"/>
  </r>
  <r>
    <s v="2001811305"/>
    <n v="2001811305"/>
    <n v="8904223819505"/>
    <n v="1"/>
    <n v="210"/>
    <n v="210"/>
    <n v="0.21"/>
    <n v="0.5"/>
    <x v="1"/>
    <s v="Forward charges"/>
    <n v="45.4"/>
    <n v="44.8"/>
    <n v="0"/>
    <n v="45.4"/>
    <n v="45.4"/>
    <n v="0"/>
    <x v="1"/>
  </r>
  <r>
    <s v="2001811305"/>
    <n v="2001811305"/>
    <n v="8904223819512"/>
    <n v="1"/>
    <n v="210"/>
    <n v="210"/>
    <n v="0.21"/>
    <n v="0.5"/>
    <x v="1"/>
    <s v="Forward charges"/>
    <n v="45.4"/>
    <n v="44.8"/>
    <n v="0"/>
    <n v="45.4"/>
    <n v="45.4"/>
    <n v="0"/>
    <x v="1"/>
  </r>
  <r>
    <s v="2001811229"/>
    <n v="2001811229"/>
    <n v="8904223819468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11229"/>
    <n v="2001811229"/>
    <n v="8904223819345"/>
    <n v="1"/>
    <n v="165"/>
    <n v="165"/>
    <n v="0.16500000000000001"/>
    <n v="0.5"/>
    <x v="1"/>
    <s v="Forward charges"/>
    <n v="45.4"/>
    <n v="44.8"/>
    <n v="0"/>
    <n v="45.4"/>
    <n v="90.2"/>
    <n v="44.800000000000004"/>
    <x v="0"/>
  </r>
  <r>
    <s v="2001811229"/>
    <n v="2001811229"/>
    <n v="8904223818874"/>
    <n v="1"/>
    <n v="100"/>
    <n v="100"/>
    <n v="0.1"/>
    <n v="0.5"/>
    <x v="1"/>
    <s v="Forward charges"/>
    <n v="45.4"/>
    <n v="44.8"/>
    <n v="0"/>
    <n v="45.4"/>
    <n v="90.2"/>
    <n v="44.800000000000004"/>
    <x v="0"/>
  </r>
  <r>
    <s v="2001811192"/>
    <n v="2001811192"/>
    <n v="8904223816214"/>
    <n v="1"/>
    <n v="120"/>
    <n v="120"/>
    <n v="0.12"/>
    <n v="0.5"/>
    <x v="1"/>
    <s v="Forward and RTO charges"/>
    <n v="45.4"/>
    <n v="44.8"/>
    <n v="0"/>
    <n v="45.4"/>
    <n v="258.89999999999998"/>
    <n v="213.49999999999997"/>
    <x v="0"/>
  </r>
  <r>
    <s v="2001811192"/>
    <n v="2001811192"/>
    <n v="8904223818874"/>
    <n v="1"/>
    <n v="100"/>
    <n v="100"/>
    <n v="0.1"/>
    <n v="0.5"/>
    <x v="1"/>
    <s v="Forward and RTO charges"/>
    <n v="45.4"/>
    <n v="44.8"/>
    <n v="0"/>
    <n v="45.4"/>
    <n v="258.89999999999998"/>
    <n v="213.49999999999997"/>
    <x v="0"/>
  </r>
  <r>
    <s v="2001811192"/>
    <n v="2001811192"/>
    <n v="8904223818881"/>
    <n v="1"/>
    <n v="140"/>
    <n v="140"/>
    <n v="0.14000000000000001"/>
    <n v="0.5"/>
    <x v="1"/>
    <s v="Forward and RTO charges"/>
    <n v="45.4"/>
    <n v="44.8"/>
    <n v="0"/>
    <n v="45.4"/>
    <n v="258.89999999999998"/>
    <n v="213.49999999999997"/>
    <x v="0"/>
  </r>
  <r>
    <s v="2001811192"/>
    <n v="2001811192"/>
    <n v="8904223819291"/>
    <n v="2"/>
    <n v="112"/>
    <n v="224"/>
    <n v="0.224"/>
    <n v="0.5"/>
    <x v="1"/>
    <s v="Forward and RTO charges"/>
    <n v="45.4"/>
    <n v="44.8"/>
    <n v="0"/>
    <n v="45.4"/>
    <n v="258.89999999999998"/>
    <n v="213.49999999999997"/>
    <x v="0"/>
  </r>
  <r>
    <s v="2001811192"/>
    <n v="2001811192"/>
    <n v="8904223819031"/>
    <n v="2"/>
    <n v="112"/>
    <n v="224"/>
    <n v="0.224"/>
    <n v="0.5"/>
    <x v="1"/>
    <s v="Forward and RTO charges"/>
    <n v="45.4"/>
    <n v="44.8"/>
    <n v="0"/>
    <n v="45.4"/>
    <n v="258.89999999999998"/>
    <n v="213.49999999999997"/>
    <x v="0"/>
  </r>
  <r>
    <s v="2001811192"/>
    <n v="2001811192"/>
    <n v="8904223819024"/>
    <n v="2"/>
    <n v="112"/>
    <n v="224"/>
    <n v="0.224"/>
    <n v="0.5"/>
    <x v="1"/>
    <s v="Forward and RTO charges"/>
    <n v="45.4"/>
    <n v="44.8"/>
    <n v="0"/>
    <n v="45.4"/>
    <n v="258.89999999999998"/>
    <n v="213.49999999999997"/>
    <x v="0"/>
  </r>
  <r>
    <s v="2001811153"/>
    <n v="2001811153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11153"/>
    <n v="2001811153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11153"/>
    <n v="2001811153"/>
    <n v="8904223819468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11058"/>
    <n v="2001811058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11058"/>
    <n v="2001811058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11058"/>
    <n v="2001811058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11039"/>
    <n v="2001811039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11039"/>
    <n v="2001811039"/>
    <n v="8904223818683"/>
    <n v="1"/>
    <n v="121"/>
    <n v="121"/>
    <n v="0.121"/>
    <n v="0.5"/>
    <x v="1"/>
    <s v="Forward charges"/>
    <n v="45.4"/>
    <n v="44.8"/>
    <n v="0"/>
    <n v="45.4"/>
    <n v="90.2"/>
    <n v="44.800000000000004"/>
    <x v="0"/>
  </r>
  <r>
    <s v="2001811039"/>
    <n v="2001811039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10697"/>
    <n v="2001810697"/>
    <n v="8904223818706"/>
    <n v="1"/>
    <n v="127"/>
    <n v="127"/>
    <n v="0.127"/>
    <n v="0.5"/>
    <x v="1"/>
    <s v="Forward charges"/>
    <n v="45.4"/>
    <n v="44.8"/>
    <n v="0"/>
    <n v="45.4"/>
    <n v="224.6"/>
    <n v="179.2"/>
    <x v="0"/>
  </r>
  <r>
    <s v="2001810697"/>
    <n v="2001810697"/>
    <n v="8904223818850"/>
    <n v="1"/>
    <n v="240"/>
    <n v="240"/>
    <n v="0.24"/>
    <n v="0.5"/>
    <x v="1"/>
    <s v="Forward charges"/>
    <n v="45.4"/>
    <n v="44.8"/>
    <n v="0"/>
    <n v="45.4"/>
    <n v="224.6"/>
    <n v="179.2"/>
    <x v="0"/>
  </r>
  <r>
    <s v="2001810697"/>
    <n v="2001810697"/>
    <n v="8904223819468"/>
    <n v="1"/>
    <n v="240"/>
    <n v="240"/>
    <n v="0.24"/>
    <n v="0.5"/>
    <x v="1"/>
    <s v="Forward charges"/>
    <n v="45.4"/>
    <n v="44.8"/>
    <n v="0"/>
    <n v="45.4"/>
    <n v="224.6"/>
    <n v="179.2"/>
    <x v="0"/>
  </r>
  <r>
    <s v="2001810549"/>
    <n v="2001810549"/>
    <n v="8904223819468"/>
    <n v="1"/>
    <n v="240"/>
    <n v="240"/>
    <n v="0.24"/>
    <n v="0.5"/>
    <x v="1"/>
    <s v="Forward charges"/>
    <n v="45.4"/>
    <n v="44.8"/>
    <n v="0"/>
    <n v="45.4"/>
    <n v="179.8"/>
    <n v="134.4"/>
    <x v="0"/>
  </r>
  <r>
    <s v="2001810549"/>
    <n v="2001810549"/>
    <n v="8904223818454"/>
    <n v="1"/>
    <n v="232"/>
    <n v="232"/>
    <n v="0.23200000000000001"/>
    <n v="0.5"/>
    <x v="1"/>
    <s v="Forward charges"/>
    <n v="45.4"/>
    <n v="44.8"/>
    <n v="0"/>
    <n v="45.4"/>
    <n v="179.8"/>
    <n v="134.4"/>
    <x v="0"/>
  </r>
  <r>
    <s v="2001810549"/>
    <n v="2001810549"/>
    <n v="8904223818669"/>
    <n v="1"/>
    <n v="240"/>
    <n v="240"/>
    <n v="0.24"/>
    <n v="0.5"/>
    <x v="1"/>
    <s v="Forward charges"/>
    <n v="45.4"/>
    <n v="44.8"/>
    <n v="0"/>
    <n v="45.4"/>
    <n v="179.8"/>
    <n v="134.4"/>
    <x v="0"/>
  </r>
  <r>
    <s v="2001810549"/>
    <n v="2001810549"/>
    <n v="8904223818638"/>
    <n v="2"/>
    <n v="137"/>
    <n v="274"/>
    <n v="0.27400000000000002"/>
    <n v="0.5"/>
    <x v="1"/>
    <s v="Forward charges"/>
    <n v="45.4"/>
    <n v="44.8"/>
    <n v="0"/>
    <n v="45.4"/>
    <n v="179.8"/>
    <n v="134.4"/>
    <x v="0"/>
  </r>
  <r>
    <s v="2001810281"/>
    <n v="2001810281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10281"/>
    <n v="2001810281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10281"/>
    <n v="2001810281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10125"/>
    <n v="2001810125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10125"/>
    <n v="2001810125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10125"/>
    <n v="2001810125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10104"/>
    <n v="2001810104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10104"/>
    <n v="2001810104"/>
    <n v="8904223818683"/>
    <n v="1"/>
    <n v="121"/>
    <n v="121"/>
    <n v="0.121"/>
    <n v="0.5"/>
    <x v="1"/>
    <s v="Forward charges"/>
    <n v="45.4"/>
    <n v="44.8"/>
    <n v="0"/>
    <n v="45.4"/>
    <n v="90.2"/>
    <n v="44.800000000000004"/>
    <x v="0"/>
  </r>
  <r>
    <s v="2001810104"/>
    <n v="2001810104"/>
    <n v="8904223819468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9934"/>
    <n v="2001809934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9934"/>
    <n v="2001809934"/>
    <n v="8904223818683"/>
    <n v="1"/>
    <n v="121"/>
    <n v="121"/>
    <n v="0.121"/>
    <n v="0.5"/>
    <x v="1"/>
    <s v="Forward charges"/>
    <n v="45.4"/>
    <n v="44.8"/>
    <n v="0"/>
    <n v="45.4"/>
    <n v="90.2"/>
    <n v="44.800000000000004"/>
    <x v="0"/>
  </r>
  <r>
    <s v="2001809917"/>
    <n v="2001809917"/>
    <n v="8904223819499"/>
    <n v="1"/>
    <n v="210"/>
    <n v="210"/>
    <n v="0.21"/>
    <n v="0.5"/>
    <x v="1"/>
    <s v="Forward and RTO charges"/>
    <n v="45.4"/>
    <n v="44.8"/>
    <n v="0"/>
    <n v="45.4"/>
    <n v="172.8"/>
    <n v="127.4"/>
    <x v="0"/>
  </r>
  <r>
    <s v="2001809917"/>
    <n v="2001809917"/>
    <n v="8904223819505"/>
    <n v="1"/>
    <n v="210"/>
    <n v="210"/>
    <n v="0.21"/>
    <n v="0.5"/>
    <x v="1"/>
    <s v="Forward and RTO charges"/>
    <n v="45.4"/>
    <n v="44.8"/>
    <n v="0"/>
    <n v="45.4"/>
    <n v="172.8"/>
    <n v="127.4"/>
    <x v="0"/>
  </r>
  <r>
    <s v="2001809917"/>
    <n v="2001809917"/>
    <n v="8904223819512"/>
    <n v="1"/>
    <n v="210"/>
    <n v="210"/>
    <n v="0.21"/>
    <n v="0.5"/>
    <x v="1"/>
    <s v="Forward and RTO charges"/>
    <n v="45.4"/>
    <n v="44.8"/>
    <n v="0"/>
    <n v="45.4"/>
    <n v="172.8"/>
    <n v="127.4"/>
    <x v="0"/>
  </r>
  <r>
    <s v="2001809820"/>
    <n v="2001809820"/>
    <n v="8904223819277"/>
    <n v="1"/>
    <n v="350"/>
    <n v="350"/>
    <n v="0.35"/>
    <n v="0.5"/>
    <x v="1"/>
    <s v="Forward charges"/>
    <n v="45.4"/>
    <n v="44.8"/>
    <n v="0"/>
    <n v="45.4"/>
    <n v="269.39999999999998"/>
    <n v="223.99999999999997"/>
    <x v="0"/>
  </r>
  <r>
    <s v="2001809820"/>
    <n v="2001809820"/>
    <n v="8904223818478"/>
    <n v="1"/>
    <n v="350"/>
    <n v="350"/>
    <n v="0.35"/>
    <n v="0.5"/>
    <x v="1"/>
    <s v="Forward charges"/>
    <n v="45.4"/>
    <n v="44.8"/>
    <n v="0"/>
    <n v="45.4"/>
    <n v="269.39999999999998"/>
    <n v="223.99999999999997"/>
    <x v="0"/>
  </r>
  <r>
    <s v="2001809820"/>
    <n v="2001809820"/>
    <n v="8904223819284"/>
    <n v="1"/>
    <n v="350"/>
    <n v="350"/>
    <n v="0.35"/>
    <n v="0.5"/>
    <x v="1"/>
    <s v="Forward charges"/>
    <n v="45.4"/>
    <n v="44.8"/>
    <n v="0"/>
    <n v="45.4"/>
    <n v="269.39999999999998"/>
    <n v="223.99999999999997"/>
    <x v="0"/>
  </r>
  <r>
    <s v="2001809820"/>
    <n v="2001809820"/>
    <n v="8904223819130"/>
    <n v="1"/>
    <n v="350"/>
    <n v="350"/>
    <n v="0.35"/>
    <n v="0.5"/>
    <x v="1"/>
    <s v="Forward charges"/>
    <n v="45.4"/>
    <n v="44.8"/>
    <n v="0"/>
    <n v="45.4"/>
    <n v="269.39999999999998"/>
    <n v="223.99999999999997"/>
    <x v="0"/>
  </r>
  <r>
    <s v="2001809820"/>
    <n v="2001809820"/>
    <n v="8904223819031"/>
    <n v="2"/>
    <n v="112"/>
    <n v="224"/>
    <n v="0.224"/>
    <n v="0.5"/>
    <x v="1"/>
    <s v="Forward charges"/>
    <n v="45.4"/>
    <n v="44.8"/>
    <n v="0"/>
    <n v="45.4"/>
    <n v="269.39999999999998"/>
    <n v="223.99999999999997"/>
    <x v="0"/>
  </r>
  <r>
    <s v="2001809820"/>
    <n v="2001809820"/>
    <n v="8904223819024"/>
    <n v="2"/>
    <n v="112"/>
    <n v="224"/>
    <n v="0.224"/>
    <n v="0.5"/>
    <x v="1"/>
    <s v="Forward charges"/>
    <n v="45.4"/>
    <n v="44.8"/>
    <n v="0"/>
    <n v="45.4"/>
    <n v="269.39999999999998"/>
    <n v="223.99999999999997"/>
    <x v="0"/>
  </r>
  <r>
    <s v="2001809820"/>
    <n v="2001809820"/>
    <n v="8904223816214"/>
    <n v="1"/>
    <n v="120"/>
    <n v="120"/>
    <n v="0.12"/>
    <n v="0.5"/>
    <x v="1"/>
    <s v="Forward charges"/>
    <n v="45.4"/>
    <n v="44.8"/>
    <n v="0"/>
    <n v="45.4"/>
    <n v="269.39999999999998"/>
    <n v="223.99999999999997"/>
    <x v="0"/>
  </r>
  <r>
    <s v="2001809820"/>
    <n v="2001809820"/>
    <n v="8904223818874"/>
    <n v="1"/>
    <n v="100"/>
    <n v="100"/>
    <n v="0.1"/>
    <n v="0.5"/>
    <x v="1"/>
    <s v="Forward charges"/>
    <n v="45.4"/>
    <n v="44.8"/>
    <n v="0"/>
    <n v="45.4"/>
    <n v="269.39999999999998"/>
    <n v="223.99999999999997"/>
    <x v="0"/>
  </r>
  <r>
    <s v="2001809820"/>
    <n v="2001809820"/>
    <n v="8904223818881"/>
    <n v="1"/>
    <n v="140"/>
    <n v="140"/>
    <n v="0.14000000000000001"/>
    <n v="0.5"/>
    <x v="1"/>
    <s v="Forward charges"/>
    <n v="45.4"/>
    <n v="44.8"/>
    <n v="0"/>
    <n v="45.4"/>
    <n v="269.39999999999998"/>
    <n v="223.99999999999997"/>
    <x v="0"/>
  </r>
  <r>
    <s v="2001809820"/>
    <n v="2001809820"/>
    <n v="8904223818898"/>
    <n v="1"/>
    <n v="140"/>
    <n v="140"/>
    <n v="0.14000000000000001"/>
    <n v="0.5"/>
    <x v="1"/>
    <s v="Forward charges"/>
    <n v="45.4"/>
    <n v="44.8"/>
    <n v="0"/>
    <n v="45.4"/>
    <n v="269.39999999999998"/>
    <n v="223.99999999999997"/>
    <x v="0"/>
  </r>
  <r>
    <s v="2001809820"/>
    <n v="2001809820"/>
    <n v="8904223818706"/>
    <n v="1"/>
    <n v="127"/>
    <n v="127"/>
    <n v="0.127"/>
    <n v="0.5"/>
    <x v="1"/>
    <s v="Forward charges"/>
    <n v="45.4"/>
    <n v="44.8"/>
    <n v="0"/>
    <n v="45.4"/>
    <n v="269.39999999999998"/>
    <n v="223.99999999999997"/>
    <x v="0"/>
  </r>
  <r>
    <s v="2001809820"/>
    <n v="2001809820"/>
    <n v="8904223818942"/>
    <n v="1"/>
    <n v="133"/>
    <n v="133"/>
    <n v="0.13300000000000001"/>
    <n v="0.5"/>
    <x v="1"/>
    <s v="Forward charges"/>
    <n v="45.4"/>
    <n v="44.8"/>
    <n v="0"/>
    <n v="45.4"/>
    <n v="269.39999999999998"/>
    <n v="223.99999999999997"/>
    <x v="0"/>
  </r>
  <r>
    <s v="2001809820"/>
    <n v="2001809820"/>
    <n v="8904223818850"/>
    <n v="1"/>
    <n v="240"/>
    <n v="240"/>
    <n v="0.24"/>
    <n v="0.5"/>
    <x v="1"/>
    <s v="Forward charges"/>
    <n v="45.4"/>
    <n v="44.8"/>
    <n v="0"/>
    <n v="45.4"/>
    <n v="269.39999999999998"/>
    <n v="223.99999999999997"/>
    <x v="0"/>
  </r>
  <r>
    <s v="2001809820"/>
    <n v="2001809820"/>
    <n v="8904223818454"/>
    <n v="1"/>
    <n v="232"/>
    <n v="232"/>
    <n v="0.23200000000000001"/>
    <n v="0.5"/>
    <x v="1"/>
    <s v="Forward charges"/>
    <n v="45.4"/>
    <n v="44.8"/>
    <n v="0"/>
    <n v="45.4"/>
    <n v="269.39999999999998"/>
    <n v="223.99999999999997"/>
    <x v="0"/>
  </r>
  <r>
    <s v="2001809794"/>
    <n v="2001809794"/>
    <n v="8904223819284"/>
    <n v="1"/>
    <n v="350"/>
    <n v="350"/>
    <n v="0.35"/>
    <n v="0.5"/>
    <x v="1"/>
    <s v="Forward charges"/>
    <n v="45.4"/>
    <n v="44.8"/>
    <n v="0"/>
    <n v="45.4"/>
    <n v="135"/>
    <n v="89.6"/>
    <x v="0"/>
  </r>
  <r>
    <s v="2001809794"/>
    <n v="2001809794"/>
    <n v="8904223819352"/>
    <n v="1"/>
    <n v="165"/>
    <n v="165"/>
    <n v="0.16500000000000001"/>
    <n v="0.5"/>
    <x v="1"/>
    <s v="Forward charges"/>
    <n v="45.4"/>
    <n v="44.8"/>
    <n v="0"/>
    <n v="45.4"/>
    <n v="135"/>
    <n v="89.6"/>
    <x v="0"/>
  </r>
  <r>
    <s v="2001809794"/>
    <n v="2001809794"/>
    <n v="8904223818935"/>
    <n v="1"/>
    <n v="120"/>
    <n v="120"/>
    <n v="0.12"/>
    <n v="0.5"/>
    <x v="1"/>
    <s v="Forward charges"/>
    <n v="45.4"/>
    <n v="44.8"/>
    <n v="0"/>
    <n v="45.4"/>
    <n v="135"/>
    <n v="89.6"/>
    <x v="0"/>
  </r>
  <r>
    <s v="2001809794"/>
    <n v="2001809794"/>
    <n v="8904223816214"/>
    <n v="1"/>
    <n v="120"/>
    <n v="120"/>
    <n v="0.12"/>
    <n v="0.5"/>
    <x v="1"/>
    <s v="Forward charges"/>
    <n v="45.4"/>
    <n v="44.8"/>
    <n v="0"/>
    <n v="45.4"/>
    <n v="135"/>
    <n v="89.6"/>
    <x v="0"/>
  </r>
  <r>
    <s v="2001809794"/>
    <n v="2001809794"/>
    <n v="8904223818454"/>
    <n v="1"/>
    <n v="232"/>
    <n v="232"/>
    <n v="0.23200000000000001"/>
    <n v="0.5"/>
    <x v="1"/>
    <s v="Forward charges"/>
    <n v="45.4"/>
    <n v="44.8"/>
    <n v="0"/>
    <n v="45.4"/>
    <n v="135"/>
    <n v="89.6"/>
    <x v="0"/>
  </r>
  <r>
    <s v="2001809794"/>
    <n v="2001809794"/>
    <s v="GIFTBOX202004"/>
    <n v="1"/>
    <n v="500"/>
    <n v="500"/>
    <n v="0.5"/>
    <n v="0.5"/>
    <x v="1"/>
    <s v="Forward charges"/>
    <n v="45.4"/>
    <n v="44.8"/>
    <n v="0"/>
    <n v="45.4"/>
    <n v="135"/>
    <n v="89.6"/>
    <x v="0"/>
  </r>
  <r>
    <s v="2001809794"/>
    <n v="2001809794"/>
    <n v="8904223819116"/>
    <n v="1"/>
    <n v="30"/>
    <n v="30"/>
    <n v="0.03"/>
    <n v="0.5"/>
    <x v="1"/>
    <s v="Forward charges"/>
    <n v="45.4"/>
    <n v="44.8"/>
    <n v="0"/>
    <n v="45.4"/>
    <n v="135"/>
    <n v="89.6"/>
    <x v="0"/>
  </r>
  <r>
    <s v="2001809592"/>
    <n v="2001809592"/>
    <n v="8904223818706"/>
    <n v="1"/>
    <n v="127"/>
    <n v="127"/>
    <n v="0.127"/>
    <n v="0.5"/>
    <x v="0"/>
    <s v="Forward charges"/>
    <n v="33"/>
    <n v="28.3"/>
    <n v="0"/>
    <n v="33"/>
    <n v="89.6"/>
    <n v="56.599999999999994"/>
    <x v="0"/>
  </r>
  <r>
    <s v="2001809592"/>
    <n v="2001809592"/>
    <n v="8904223819024"/>
    <n v="8"/>
    <n v="112"/>
    <n v="896"/>
    <n v="0.89600000000000002"/>
    <n v="1"/>
    <x v="0"/>
    <s v="Forward charges"/>
    <n v="33"/>
    <n v="28.3"/>
    <n v="1"/>
    <n v="61.3"/>
    <n v="89.6"/>
    <n v="28.299999999999997"/>
    <x v="0"/>
  </r>
  <r>
    <s v="2001809592"/>
    <n v="2001809592"/>
    <n v="8904223818683"/>
    <n v="2"/>
    <n v="121"/>
    <n v="242"/>
    <n v="0.24199999999999999"/>
    <n v="0.5"/>
    <x v="0"/>
    <s v="Forward charges"/>
    <n v="33"/>
    <n v="28.3"/>
    <n v="0"/>
    <n v="33"/>
    <n v="89.6"/>
    <n v="56.599999999999994"/>
    <x v="0"/>
  </r>
  <r>
    <s v="2001809592"/>
    <n v="2001809592"/>
    <n v="8904223818850"/>
    <n v="1"/>
    <n v="240"/>
    <n v="240"/>
    <n v="0.24"/>
    <n v="0.5"/>
    <x v="0"/>
    <s v="Forward charges"/>
    <n v="33"/>
    <n v="28.3"/>
    <n v="0"/>
    <n v="33"/>
    <n v="89.6"/>
    <n v="56.599999999999994"/>
    <x v="0"/>
  </r>
  <r>
    <s v="2001809383"/>
    <n v="2001809383"/>
    <n v="8904223818706"/>
    <n v="1"/>
    <n v="127"/>
    <n v="127"/>
    <n v="0.127"/>
    <n v="0.5"/>
    <x v="1"/>
    <s v="Forward and RTO charges"/>
    <n v="45.4"/>
    <n v="44.8"/>
    <n v="0"/>
    <n v="45.4"/>
    <n v="86.7"/>
    <n v="41.300000000000004"/>
    <x v="0"/>
  </r>
  <r>
    <s v="2001809383"/>
    <n v="2001809383"/>
    <n v="8904223818850"/>
    <n v="1"/>
    <n v="240"/>
    <n v="240"/>
    <n v="0.24"/>
    <n v="0.5"/>
    <x v="1"/>
    <s v="Forward and RTO charges"/>
    <n v="45.4"/>
    <n v="44.8"/>
    <n v="0"/>
    <n v="45.4"/>
    <n v="86.7"/>
    <n v="41.300000000000004"/>
    <x v="0"/>
  </r>
  <r>
    <s v="2001809383"/>
    <n v="2001809383"/>
    <n v="8904223819468"/>
    <n v="1"/>
    <n v="240"/>
    <n v="240"/>
    <n v="0.24"/>
    <n v="0.5"/>
    <x v="1"/>
    <s v="Forward and RTO charges"/>
    <n v="45.4"/>
    <n v="44.8"/>
    <n v="0"/>
    <n v="45.4"/>
    <n v="86.7"/>
    <n v="41.300000000000004"/>
    <x v="0"/>
  </r>
  <r>
    <s v="2001809270"/>
    <n v="2001809270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9270"/>
    <n v="2001809270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9270"/>
    <n v="2001809270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8992"/>
    <n v="2001808992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8992"/>
    <n v="2001808992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8992"/>
    <n v="2001808992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8883"/>
    <n v="2001808883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8883"/>
    <n v="2001808883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8883"/>
    <n v="2001808883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8837"/>
    <n v="2001808837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8837"/>
    <n v="2001808837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8837"/>
    <n v="2001808837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8832"/>
    <n v="2001808832"/>
    <n v="8904223819338"/>
    <n v="1"/>
    <n v="600"/>
    <n v="600"/>
    <n v="0.6"/>
    <n v="1"/>
    <x v="1"/>
    <s v="Forward charges"/>
    <n v="45.4"/>
    <n v="44.8"/>
    <n v="1"/>
    <n v="90.199999999999989"/>
    <n v="224.6"/>
    <n v="134.4"/>
    <x v="0"/>
  </r>
  <r>
    <s v="2001808801"/>
    <n v="2001808801"/>
    <n v="8904223817273"/>
    <n v="2"/>
    <n v="65"/>
    <n v="130"/>
    <n v="0.13"/>
    <n v="0.5"/>
    <x v="1"/>
    <s v="Forward charges"/>
    <n v="45.4"/>
    <n v="44.8"/>
    <n v="0"/>
    <n v="45.4"/>
    <n v="90.2"/>
    <n v="44.800000000000004"/>
    <x v="0"/>
  </r>
  <r>
    <s v="2001808801"/>
    <n v="2001808801"/>
    <n v="8904223815866"/>
    <n v="2"/>
    <n v="113"/>
    <n v="226"/>
    <n v="0.22600000000000001"/>
    <n v="0.5"/>
    <x v="1"/>
    <s v="Forward charges"/>
    <n v="45.4"/>
    <n v="44.8"/>
    <n v="0"/>
    <n v="45.4"/>
    <n v="90.2"/>
    <n v="44.800000000000004"/>
    <x v="0"/>
  </r>
  <r>
    <s v="2001808801"/>
    <n v="2001808801"/>
    <n v="8904223815859"/>
    <n v="1"/>
    <n v="165"/>
    <n v="165"/>
    <n v="0.16500000000000001"/>
    <n v="0.5"/>
    <x v="1"/>
    <s v="Forward charges"/>
    <n v="45.4"/>
    <n v="44.8"/>
    <n v="0"/>
    <n v="45.4"/>
    <n v="90.2"/>
    <n v="44.800000000000004"/>
    <x v="0"/>
  </r>
  <r>
    <s v="2001808801"/>
    <n v="2001808801"/>
    <n v="8904223815682"/>
    <n v="1"/>
    <n v="210"/>
    <n v="210"/>
    <n v="0.21"/>
    <n v="0.5"/>
    <x v="1"/>
    <s v="Forward charges"/>
    <n v="45.4"/>
    <n v="44.8"/>
    <n v="0"/>
    <n v="45.4"/>
    <n v="90.2"/>
    <n v="44.800000000000004"/>
    <x v="0"/>
  </r>
  <r>
    <s v="2001808739"/>
    <n v="2001808739"/>
    <n v="8904223816214"/>
    <n v="1"/>
    <n v="120"/>
    <n v="120"/>
    <n v="0.12"/>
    <n v="0.5"/>
    <x v="1"/>
    <s v="Forward charges"/>
    <n v="45.4"/>
    <n v="44.8"/>
    <n v="0"/>
    <n v="45.4"/>
    <n v="179.8"/>
    <n v="134.4"/>
    <x v="0"/>
  </r>
  <r>
    <s v="2001808739"/>
    <n v="2001808739"/>
    <n v="8904223818874"/>
    <n v="1"/>
    <n v="100"/>
    <n v="100"/>
    <n v="0.1"/>
    <n v="0.5"/>
    <x v="1"/>
    <s v="Forward charges"/>
    <n v="45.4"/>
    <n v="44.8"/>
    <n v="0"/>
    <n v="45.4"/>
    <n v="179.8"/>
    <n v="134.4"/>
    <x v="0"/>
  </r>
  <r>
    <s v="2001808679"/>
    <n v="2001808679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8679"/>
    <n v="2001808679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8679"/>
    <n v="2001808679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8675"/>
    <n v="2001808675"/>
    <n v="8904223818614"/>
    <n v="1"/>
    <n v="65"/>
    <n v="65"/>
    <n v="6.5000000000000002E-2"/>
    <n v="0.5"/>
    <x v="0"/>
    <s v="Forward charges"/>
    <n v="33"/>
    <n v="28.3"/>
    <n v="0"/>
    <n v="33"/>
    <n v="89.6"/>
    <n v="56.599999999999994"/>
    <x v="0"/>
  </r>
  <r>
    <s v="2001808675"/>
    <n v="2001808675"/>
    <n v="8904223815866"/>
    <n v="1"/>
    <n v="113"/>
    <n v="113"/>
    <n v="0.113"/>
    <n v="0.5"/>
    <x v="0"/>
    <s v="Forward charges"/>
    <n v="33"/>
    <n v="28.3"/>
    <n v="0"/>
    <n v="33"/>
    <n v="89.6"/>
    <n v="56.599999999999994"/>
    <x v="0"/>
  </r>
  <r>
    <s v="2001808675"/>
    <n v="2001808675"/>
    <n v="8904223815859"/>
    <n v="1"/>
    <n v="165"/>
    <n v="165"/>
    <n v="0.16500000000000001"/>
    <n v="0.5"/>
    <x v="0"/>
    <s v="Forward charges"/>
    <n v="33"/>
    <n v="28.3"/>
    <n v="0"/>
    <n v="33"/>
    <n v="89.6"/>
    <n v="56.599999999999994"/>
    <x v="0"/>
  </r>
  <r>
    <s v="2001808675"/>
    <n v="2001808675"/>
    <n v="8904223817334"/>
    <n v="1"/>
    <n v="170"/>
    <n v="170"/>
    <n v="0.17"/>
    <n v="0.5"/>
    <x v="0"/>
    <s v="Forward charges"/>
    <n v="33"/>
    <n v="28.3"/>
    <n v="0"/>
    <n v="33"/>
    <n v="89.6"/>
    <n v="56.599999999999994"/>
    <x v="0"/>
  </r>
  <r>
    <s v="2001808675"/>
    <n v="2001808675"/>
    <s v="GIFTBOX202001"/>
    <n v="1"/>
    <n v="500"/>
    <n v="500"/>
    <n v="0.5"/>
    <n v="0.5"/>
    <x v="0"/>
    <s v="Forward charges"/>
    <n v="33"/>
    <n v="28.3"/>
    <n v="0"/>
    <n v="33"/>
    <n v="89.6"/>
    <n v="56.599999999999994"/>
    <x v="0"/>
  </r>
  <r>
    <s v="2001808675"/>
    <n v="2001808675"/>
    <n v="8904223819369"/>
    <n v="1"/>
    <n v="170"/>
    <n v="170"/>
    <n v="0.17"/>
    <n v="0.5"/>
    <x v="0"/>
    <s v="Forward charges"/>
    <n v="33"/>
    <n v="28.3"/>
    <n v="0"/>
    <n v="33"/>
    <n v="89.6"/>
    <n v="56.599999999999994"/>
    <x v="0"/>
  </r>
  <r>
    <s v="2001808585"/>
    <n v="2001808585"/>
    <n v="8904223818706"/>
    <n v="1"/>
    <n v="127"/>
    <n v="127"/>
    <n v="0.127"/>
    <n v="0.5"/>
    <x v="0"/>
    <s v="Forward charges"/>
    <n v="33"/>
    <n v="28.3"/>
    <n v="0"/>
    <n v="33"/>
    <n v="61.3"/>
    <n v="28.299999999999997"/>
    <x v="0"/>
  </r>
  <r>
    <s v="2001808585"/>
    <n v="2001808585"/>
    <n v="8904223818942"/>
    <n v="1"/>
    <n v="133"/>
    <n v="133"/>
    <n v="0.13300000000000001"/>
    <n v="0.5"/>
    <x v="0"/>
    <s v="Forward charges"/>
    <n v="33"/>
    <n v="28.3"/>
    <n v="0"/>
    <n v="33"/>
    <n v="61.3"/>
    <n v="28.299999999999997"/>
    <x v="0"/>
  </r>
  <r>
    <s v="2001808585"/>
    <n v="2001808585"/>
    <n v="8904223818850"/>
    <n v="1"/>
    <n v="240"/>
    <n v="240"/>
    <n v="0.24"/>
    <n v="0.5"/>
    <x v="0"/>
    <s v="Forward charges"/>
    <n v="33"/>
    <n v="28.3"/>
    <n v="0"/>
    <n v="33"/>
    <n v="61.3"/>
    <n v="28.299999999999997"/>
    <x v="0"/>
  </r>
  <r>
    <s v="2001808542"/>
    <n v="2001808542"/>
    <n v="8904223819468"/>
    <n v="2"/>
    <n v="240"/>
    <n v="480"/>
    <n v="0.48"/>
    <n v="0.5"/>
    <x v="1"/>
    <s v="Forward charges"/>
    <n v="45.4"/>
    <n v="44.8"/>
    <n v="0"/>
    <n v="45.4"/>
    <n v="90.2"/>
    <n v="44.800000000000004"/>
    <x v="0"/>
  </r>
  <r>
    <s v="2001808542"/>
    <n v="2001808542"/>
    <n v="8904223818706"/>
    <n v="2"/>
    <n v="127"/>
    <n v="254"/>
    <n v="0.254"/>
    <n v="0.5"/>
    <x v="1"/>
    <s v="Forward charges"/>
    <n v="45.4"/>
    <n v="44.8"/>
    <n v="0"/>
    <n v="45.4"/>
    <n v="90.2"/>
    <n v="44.800000000000004"/>
    <x v="0"/>
  </r>
  <r>
    <s v="2001808507"/>
    <n v="2001808507"/>
    <n v="8904223818706"/>
    <n v="1"/>
    <n v="127"/>
    <n v="127"/>
    <n v="0.127"/>
    <n v="0.5"/>
    <x v="0"/>
    <s v="Forward charges"/>
    <n v="33"/>
    <n v="28.3"/>
    <n v="0"/>
    <n v="33"/>
    <n v="61.3"/>
    <n v="28.299999999999997"/>
    <x v="0"/>
  </r>
  <r>
    <s v="2001808507"/>
    <n v="2001808507"/>
    <n v="8904223818850"/>
    <n v="1"/>
    <n v="240"/>
    <n v="240"/>
    <n v="0.24"/>
    <n v="0.5"/>
    <x v="0"/>
    <s v="Forward charges"/>
    <n v="33"/>
    <n v="28.3"/>
    <n v="0"/>
    <n v="33"/>
    <n v="61.3"/>
    <n v="28.299999999999997"/>
    <x v="0"/>
  </r>
  <r>
    <s v="2001808507"/>
    <n v="2001808507"/>
    <n v="8904223819468"/>
    <n v="1"/>
    <n v="240"/>
    <n v="240"/>
    <n v="0.24"/>
    <n v="0.5"/>
    <x v="0"/>
    <s v="Forward charges"/>
    <n v="33"/>
    <n v="28.3"/>
    <n v="0"/>
    <n v="33"/>
    <n v="61.3"/>
    <n v="28.299999999999997"/>
    <x v="0"/>
  </r>
  <r>
    <s v="2001808475"/>
    <n v="2001808475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8475"/>
    <n v="2001808475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8475"/>
    <n v="2001808475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8295"/>
    <n v="2001808295"/>
    <n v="8904223819161"/>
    <n v="1"/>
    <n v="115"/>
    <n v="115"/>
    <n v="0.115"/>
    <n v="0.5"/>
    <x v="2"/>
    <s v="Forward and RTO charges"/>
    <n v="56.6"/>
    <n v="55.5"/>
    <n v="0"/>
    <n v="56.6"/>
    <n v="107.3"/>
    <n v="50.699999999999996"/>
    <x v="0"/>
  </r>
  <r>
    <s v="2001808295"/>
    <n v="2001808295"/>
    <n v="8904223819260"/>
    <n v="1"/>
    <n v="130"/>
    <n v="130"/>
    <n v="0.13"/>
    <n v="0.5"/>
    <x v="2"/>
    <s v="Forward and RTO charges"/>
    <n v="56.6"/>
    <n v="55.5"/>
    <n v="0"/>
    <n v="56.6"/>
    <n v="107.3"/>
    <n v="50.699999999999996"/>
    <x v="0"/>
  </r>
  <r>
    <s v="2001808286"/>
    <n v="2001808286"/>
    <n v="8904223818683"/>
    <n v="1"/>
    <n v="121"/>
    <n v="121"/>
    <n v="0.121"/>
    <n v="0.5"/>
    <x v="1"/>
    <s v="Forward charges"/>
    <n v="45.4"/>
    <n v="44.8"/>
    <n v="0"/>
    <n v="45.4"/>
    <n v="90.2"/>
    <n v="44.800000000000004"/>
    <x v="0"/>
  </r>
  <r>
    <s v="2001808286"/>
    <n v="2001808286"/>
    <n v="8904223819468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8286"/>
    <n v="2001808286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8207"/>
    <n v="2001808207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8207"/>
    <n v="2001808207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8207"/>
    <n v="2001808207"/>
    <n v="8904223819468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8118"/>
    <n v="2001808118"/>
    <n v="8904223815859"/>
    <n v="1"/>
    <n v="165"/>
    <n v="165"/>
    <n v="0.16500000000000001"/>
    <n v="0.5"/>
    <x v="0"/>
    <s v="Forward charges"/>
    <n v="33"/>
    <n v="28.3"/>
    <n v="0"/>
    <n v="33"/>
    <n v="33"/>
    <n v="0"/>
    <x v="1"/>
  </r>
  <r>
    <s v="2001808118"/>
    <n v="2001808118"/>
    <n v="8904223817273"/>
    <n v="1"/>
    <n v="65"/>
    <n v="65"/>
    <n v="6.5000000000000002E-2"/>
    <n v="0.5"/>
    <x v="0"/>
    <s v="Forward charges"/>
    <n v="33"/>
    <n v="28.3"/>
    <n v="0"/>
    <n v="33"/>
    <n v="33"/>
    <n v="0"/>
    <x v="1"/>
  </r>
  <r>
    <s v="2001808118"/>
    <n v="2001808118"/>
    <n v="8904223818751"/>
    <n v="1"/>
    <n v="113"/>
    <n v="113"/>
    <n v="0.113"/>
    <n v="0.5"/>
    <x v="0"/>
    <s v="Forward charges"/>
    <n v="33"/>
    <n v="28.3"/>
    <n v="0"/>
    <n v="33"/>
    <n v="33"/>
    <n v="0"/>
    <x v="1"/>
  </r>
  <r>
    <s v="2001808102"/>
    <n v="2001808102"/>
    <n v="8904223819291"/>
    <n v="2"/>
    <n v="112"/>
    <n v="224"/>
    <n v="0.224"/>
    <n v="0.5"/>
    <x v="1"/>
    <s v="Forward charges"/>
    <n v="45.4"/>
    <n v="44.8"/>
    <n v="0"/>
    <n v="45.4"/>
    <n v="135"/>
    <n v="89.6"/>
    <x v="0"/>
  </r>
  <r>
    <s v="2001808102"/>
    <n v="2001808102"/>
    <n v="8904223819031"/>
    <n v="2"/>
    <n v="112"/>
    <n v="224"/>
    <n v="0.224"/>
    <n v="0.5"/>
    <x v="1"/>
    <s v="Forward charges"/>
    <n v="45.4"/>
    <n v="44.8"/>
    <n v="0"/>
    <n v="45.4"/>
    <n v="135"/>
    <n v="89.6"/>
    <x v="0"/>
  </r>
  <r>
    <s v="2001808102"/>
    <n v="2001808102"/>
    <n v="8904223819024"/>
    <n v="2"/>
    <n v="112"/>
    <n v="224"/>
    <n v="0.224"/>
    <n v="0.5"/>
    <x v="1"/>
    <s v="Forward charges"/>
    <n v="45.4"/>
    <n v="44.8"/>
    <n v="0"/>
    <n v="45.4"/>
    <n v="135"/>
    <n v="89.6"/>
    <x v="0"/>
  </r>
  <r>
    <s v="2001808102"/>
    <n v="2001808102"/>
    <n v="8904223819161"/>
    <n v="1"/>
    <n v="115"/>
    <n v="115"/>
    <n v="0.115"/>
    <n v="0.5"/>
    <x v="1"/>
    <s v="Forward charges"/>
    <n v="45.4"/>
    <n v="44.8"/>
    <n v="0"/>
    <n v="45.4"/>
    <n v="135"/>
    <n v="89.6"/>
    <x v="0"/>
  </r>
  <r>
    <s v="2001808102"/>
    <n v="2001808102"/>
    <n v="8904223819260"/>
    <n v="1"/>
    <n v="130"/>
    <n v="130"/>
    <n v="0.13"/>
    <n v="0.5"/>
    <x v="1"/>
    <s v="Forward charges"/>
    <n v="45.4"/>
    <n v="44.8"/>
    <n v="0"/>
    <n v="45.4"/>
    <n v="135"/>
    <n v="89.6"/>
    <x v="0"/>
  </r>
  <r>
    <s v="2001808102"/>
    <n v="2001808102"/>
    <n v="8904223819468"/>
    <n v="1"/>
    <n v="240"/>
    <n v="240"/>
    <n v="0.24"/>
    <n v="0.5"/>
    <x v="1"/>
    <s v="Forward charges"/>
    <n v="45.4"/>
    <n v="44.8"/>
    <n v="0"/>
    <n v="45.4"/>
    <n v="135"/>
    <n v="89.6"/>
    <x v="0"/>
  </r>
  <r>
    <s v="2001807981"/>
    <n v="2001807981"/>
    <n v="8904223818706"/>
    <n v="1"/>
    <n v="127"/>
    <n v="127"/>
    <n v="0.127"/>
    <n v="0.5"/>
    <x v="1"/>
    <s v="Forward charges"/>
    <n v="45.4"/>
    <n v="44.8"/>
    <n v="0"/>
    <n v="45.4"/>
    <n v="45.4"/>
    <n v="0"/>
    <x v="1"/>
  </r>
  <r>
    <s v="2001807981"/>
    <n v="2001807981"/>
    <n v="8904223818942"/>
    <n v="1"/>
    <n v="133"/>
    <n v="133"/>
    <n v="0.13300000000000001"/>
    <n v="0.5"/>
    <x v="1"/>
    <s v="Forward charges"/>
    <n v="45.4"/>
    <n v="44.8"/>
    <n v="0"/>
    <n v="45.4"/>
    <n v="45.4"/>
    <n v="0"/>
    <x v="1"/>
  </r>
  <r>
    <s v="2001807981"/>
    <n v="2001807981"/>
    <n v="8904223818850"/>
    <n v="1"/>
    <n v="240"/>
    <n v="240"/>
    <n v="0.24"/>
    <n v="0.5"/>
    <x v="1"/>
    <s v="Forward charges"/>
    <n v="45.4"/>
    <n v="44.8"/>
    <n v="0"/>
    <n v="45.4"/>
    <n v="45.4"/>
    <n v="0"/>
    <x v="1"/>
  </r>
  <r>
    <s v="2001807976"/>
    <n v="2001807976"/>
    <n v="8904223819468"/>
    <n v="1"/>
    <n v="240"/>
    <n v="240"/>
    <n v="0.24"/>
    <n v="0.5"/>
    <x v="1"/>
    <s v="Forward and RTO charges"/>
    <n v="45.4"/>
    <n v="44.8"/>
    <n v="0"/>
    <n v="45.4"/>
    <n v="172.8"/>
    <n v="127.4"/>
    <x v="0"/>
  </r>
  <r>
    <s v="2001807976"/>
    <n v="2001807976"/>
    <n v="8904223818669"/>
    <n v="1"/>
    <n v="240"/>
    <n v="240"/>
    <n v="0.24"/>
    <n v="0.5"/>
    <x v="1"/>
    <s v="Forward and RTO charges"/>
    <n v="45.4"/>
    <n v="44.8"/>
    <n v="0"/>
    <n v="45.4"/>
    <n v="172.8"/>
    <n v="127.4"/>
    <x v="0"/>
  </r>
  <r>
    <s v="2001807976"/>
    <n v="2001807976"/>
    <n v="8904223818683"/>
    <n v="1"/>
    <n v="121"/>
    <n v="121"/>
    <n v="0.121"/>
    <n v="0.5"/>
    <x v="1"/>
    <s v="Forward and RTO charges"/>
    <n v="45.4"/>
    <n v="44.8"/>
    <n v="0"/>
    <n v="45.4"/>
    <n v="172.8"/>
    <n v="127.4"/>
    <x v="0"/>
  </r>
  <r>
    <s v="2001807976"/>
    <n v="2001807976"/>
    <n v="8904223818713"/>
    <n v="1"/>
    <n v="120"/>
    <n v="120"/>
    <n v="0.12"/>
    <n v="0.5"/>
    <x v="1"/>
    <s v="Forward and RTO charges"/>
    <n v="45.4"/>
    <n v="44.8"/>
    <n v="0"/>
    <n v="45.4"/>
    <n v="172.8"/>
    <n v="127.4"/>
    <x v="0"/>
  </r>
  <r>
    <s v="2001807970"/>
    <n v="2001807970"/>
    <n v="8904223819321"/>
    <n v="1"/>
    <n v="600"/>
    <n v="600"/>
    <n v="0.6"/>
    <n v="1"/>
    <x v="1"/>
    <s v="Forward charges"/>
    <n v="45.4"/>
    <n v="44.8"/>
    <n v="1"/>
    <n v="90.199999999999989"/>
    <n v="403.8"/>
    <n v="313.60000000000002"/>
    <x v="0"/>
  </r>
  <r>
    <s v="2001807970"/>
    <n v="2001807970"/>
    <n v="8904223818430"/>
    <n v="1"/>
    <n v="165"/>
    <n v="165"/>
    <n v="0.16500000000000001"/>
    <n v="0.5"/>
    <x v="1"/>
    <s v="Forward charges"/>
    <n v="45.4"/>
    <n v="44.8"/>
    <n v="0"/>
    <n v="45.4"/>
    <n v="403.8"/>
    <n v="358.40000000000003"/>
    <x v="0"/>
  </r>
  <r>
    <s v="2001807960"/>
    <n v="2001807960"/>
    <n v="8904223818669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7960"/>
    <n v="2001807960"/>
    <n v="8904223819147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7960"/>
    <n v="2001807960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7960"/>
    <n v="2001807960"/>
    <n v="8904223819505"/>
    <n v="1"/>
    <n v="210"/>
    <n v="210"/>
    <n v="0.21"/>
    <n v="0.5"/>
    <x v="1"/>
    <s v="Forward charges"/>
    <n v="45.4"/>
    <n v="44.8"/>
    <n v="0"/>
    <n v="45.4"/>
    <n v="90.2"/>
    <n v="44.800000000000004"/>
    <x v="0"/>
  </r>
  <r>
    <s v="2001807956"/>
    <n v="2001807956"/>
    <n v="8904223818706"/>
    <n v="1"/>
    <n v="127"/>
    <n v="127"/>
    <n v="0.127"/>
    <n v="0.5"/>
    <x v="0"/>
    <s v="Forward charges"/>
    <n v="33"/>
    <n v="28.3"/>
    <n v="0"/>
    <n v="33"/>
    <n v="89.6"/>
    <n v="56.599999999999994"/>
    <x v="0"/>
  </r>
  <r>
    <s v="2001807956"/>
    <n v="2001807956"/>
    <n v="8904223818942"/>
    <n v="1"/>
    <n v="133"/>
    <n v="133"/>
    <n v="0.13300000000000001"/>
    <n v="0.5"/>
    <x v="0"/>
    <s v="Forward charges"/>
    <n v="33"/>
    <n v="28.3"/>
    <n v="0"/>
    <n v="33"/>
    <n v="89.6"/>
    <n v="56.599999999999994"/>
    <x v="0"/>
  </r>
  <r>
    <s v="2001807956"/>
    <n v="2001807956"/>
    <n v="8904223818850"/>
    <n v="1"/>
    <n v="240"/>
    <n v="240"/>
    <n v="0.24"/>
    <n v="0.5"/>
    <x v="0"/>
    <s v="Forward charges"/>
    <n v="33"/>
    <n v="28.3"/>
    <n v="0"/>
    <n v="33"/>
    <n v="89.6"/>
    <n v="56.599999999999994"/>
    <x v="0"/>
  </r>
  <r>
    <s v="2001807956"/>
    <n v="2001807956"/>
    <n v="8904223819246"/>
    <n v="2"/>
    <n v="290"/>
    <n v="580"/>
    <n v="0.57999999999999996"/>
    <n v="1"/>
    <x v="0"/>
    <s v="Forward charges"/>
    <n v="33"/>
    <n v="28.3"/>
    <n v="1"/>
    <n v="61.3"/>
    <n v="89.6"/>
    <n v="28.299999999999997"/>
    <x v="0"/>
  </r>
  <r>
    <s v="2001807931"/>
    <n v="2001807931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7931"/>
    <n v="2001807931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7931"/>
    <n v="2001807931"/>
    <n v="8904223819468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7930"/>
    <n v="2001807930"/>
    <n v="8904223819468"/>
    <n v="1"/>
    <n v="240"/>
    <n v="240"/>
    <n v="0.24"/>
    <n v="0.5"/>
    <x v="1"/>
    <s v="Forward charges"/>
    <n v="45.4"/>
    <n v="44.8"/>
    <n v="0"/>
    <n v="45.4"/>
    <n v="45.4"/>
    <n v="0"/>
    <x v="1"/>
  </r>
  <r>
    <s v="2001807852"/>
    <n v="2001807852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7852"/>
    <n v="2001807852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7852"/>
    <n v="2001807852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7814"/>
    <n v="2001807814"/>
    <n v="8904223818706"/>
    <n v="1"/>
    <n v="127"/>
    <n v="127"/>
    <n v="0.127"/>
    <n v="0.5"/>
    <x v="0"/>
    <s v="Forward charges"/>
    <n v="33"/>
    <n v="28.3"/>
    <n v="0"/>
    <n v="33"/>
    <n v="61.3"/>
    <n v="28.299999999999997"/>
    <x v="0"/>
  </r>
  <r>
    <s v="2001807814"/>
    <n v="2001807814"/>
    <n v="8904223818850"/>
    <n v="1"/>
    <n v="240"/>
    <n v="240"/>
    <n v="0.24"/>
    <n v="0.5"/>
    <x v="0"/>
    <s v="Forward charges"/>
    <n v="33"/>
    <n v="28.3"/>
    <n v="0"/>
    <n v="33"/>
    <n v="61.3"/>
    <n v="28.299999999999997"/>
    <x v="0"/>
  </r>
  <r>
    <s v="2001807814"/>
    <n v="2001807814"/>
    <n v="8904223819468"/>
    <n v="1"/>
    <n v="240"/>
    <n v="240"/>
    <n v="0.24"/>
    <n v="0.5"/>
    <x v="0"/>
    <s v="Forward charges"/>
    <n v="33"/>
    <n v="28.3"/>
    <n v="0"/>
    <n v="33"/>
    <n v="61.3"/>
    <n v="28.299999999999997"/>
    <x v="0"/>
  </r>
  <r>
    <s v="2001807785"/>
    <n v="2001807785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7785"/>
    <n v="2001807785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7785"/>
    <n v="2001807785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7613"/>
    <n v="2001807613"/>
    <n v="8904223819147"/>
    <n v="1"/>
    <n v="240"/>
    <n v="240"/>
    <n v="0.24"/>
    <n v="0.5"/>
    <x v="1"/>
    <s v="Forward charges"/>
    <n v="45.4"/>
    <n v="44.8"/>
    <n v="0"/>
    <n v="45.4"/>
    <n v="135"/>
    <n v="89.6"/>
    <x v="0"/>
  </r>
  <r>
    <s v="2001807613"/>
    <n v="2001807613"/>
    <n v="8904223819468"/>
    <n v="1"/>
    <n v="240"/>
    <n v="240"/>
    <n v="0.24"/>
    <n v="0.5"/>
    <x v="1"/>
    <s v="Forward charges"/>
    <n v="45.4"/>
    <n v="44.8"/>
    <n v="0"/>
    <n v="45.4"/>
    <n v="135"/>
    <n v="89.6"/>
    <x v="0"/>
  </r>
  <r>
    <s v="2001807613"/>
    <n v="2001807613"/>
    <n v="8904223819277"/>
    <n v="1"/>
    <n v="350"/>
    <n v="350"/>
    <n v="0.35"/>
    <n v="0.5"/>
    <x v="1"/>
    <s v="Forward charges"/>
    <n v="45.4"/>
    <n v="44.8"/>
    <n v="0"/>
    <n v="45.4"/>
    <n v="135"/>
    <n v="89.6"/>
    <x v="0"/>
  </r>
  <r>
    <s v="2001807415"/>
    <n v="2001807415"/>
    <n v="8904223818850"/>
    <n v="2"/>
    <n v="240"/>
    <n v="480"/>
    <n v="0.48"/>
    <n v="0.5"/>
    <x v="0"/>
    <s v="Forward charges"/>
    <n v="33"/>
    <n v="28.3"/>
    <n v="0"/>
    <n v="33"/>
    <n v="61.3"/>
    <n v="28.299999999999997"/>
    <x v="0"/>
  </r>
  <r>
    <s v="2001807415"/>
    <n v="2001807415"/>
    <n v="8904223818713"/>
    <n v="1"/>
    <n v="120"/>
    <n v="120"/>
    <n v="0.12"/>
    <n v="0.5"/>
    <x v="0"/>
    <s v="Forward charges"/>
    <n v="33"/>
    <n v="28.3"/>
    <n v="0"/>
    <n v="33"/>
    <n v="61.3"/>
    <n v="28.299999999999997"/>
    <x v="0"/>
  </r>
  <r>
    <s v="2001807415"/>
    <n v="2001807415"/>
    <n v="8904223819024"/>
    <n v="4"/>
    <n v="112"/>
    <n v="448"/>
    <n v="0.44800000000000001"/>
    <n v="0.5"/>
    <x v="0"/>
    <s v="Forward charges"/>
    <n v="33"/>
    <n v="28.3"/>
    <n v="0"/>
    <n v="33"/>
    <n v="61.3"/>
    <n v="28.299999999999997"/>
    <x v="0"/>
  </r>
  <r>
    <s v="2001807362"/>
    <n v="2001807362"/>
    <n v="8904223819031"/>
    <n v="6"/>
    <n v="112"/>
    <n v="672"/>
    <n v="0.67200000000000004"/>
    <n v="1"/>
    <x v="1"/>
    <s v="Forward charges"/>
    <n v="45.4"/>
    <n v="44.8"/>
    <n v="1"/>
    <n v="90.199999999999989"/>
    <n v="179.8"/>
    <n v="89.600000000000023"/>
    <x v="0"/>
  </r>
  <r>
    <s v="2001807362"/>
    <n v="2001807362"/>
    <n v="8904223819024"/>
    <n v="6"/>
    <n v="112"/>
    <n v="672"/>
    <n v="0.67200000000000004"/>
    <n v="1"/>
    <x v="1"/>
    <s v="Forward charges"/>
    <n v="45.4"/>
    <n v="44.8"/>
    <n v="1"/>
    <n v="90.199999999999989"/>
    <n v="179.8"/>
    <n v="89.600000000000023"/>
    <x v="0"/>
  </r>
  <r>
    <s v="2001807362"/>
    <n v="2001807362"/>
    <n v="8904223819291"/>
    <n v="2"/>
    <n v="112"/>
    <n v="224"/>
    <n v="0.224"/>
    <n v="0.5"/>
    <x v="1"/>
    <s v="Forward charges"/>
    <n v="45.4"/>
    <n v="44.8"/>
    <n v="0"/>
    <n v="45.4"/>
    <n v="179.8"/>
    <n v="134.4"/>
    <x v="0"/>
  </r>
  <r>
    <s v="2001807362"/>
    <n v="2001807362"/>
    <n v="8904223819031"/>
    <n v="2"/>
    <n v="112"/>
    <n v="224"/>
    <n v="0.224"/>
    <n v="0.5"/>
    <x v="1"/>
    <s v="Forward charges"/>
    <n v="45.4"/>
    <n v="44.8"/>
    <n v="0"/>
    <n v="45.4"/>
    <n v="179.8"/>
    <n v="134.4"/>
    <x v="0"/>
  </r>
  <r>
    <s v="2001807362"/>
    <n v="2001807362"/>
    <n v="8904223819024"/>
    <n v="2"/>
    <n v="112"/>
    <n v="224"/>
    <n v="0.224"/>
    <n v="0.5"/>
    <x v="1"/>
    <s v="Forward charges"/>
    <n v="45.4"/>
    <n v="44.8"/>
    <n v="0"/>
    <n v="45.4"/>
    <n v="179.8"/>
    <n v="134.4"/>
    <x v="0"/>
  </r>
  <r>
    <s v="2001807329"/>
    <n v="2001807329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7329"/>
    <n v="2001807329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7329"/>
    <n v="2001807329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7328"/>
    <n v="2001807328"/>
    <n v="8904223818997"/>
    <n v="1"/>
    <n v="490"/>
    <n v="490"/>
    <n v="0.49"/>
    <n v="0.5"/>
    <x v="1"/>
    <s v="Forward charges"/>
    <n v="45.4"/>
    <n v="44.8"/>
    <n v="0"/>
    <n v="45.4"/>
    <n v="224.6"/>
    <n v="179.2"/>
    <x v="0"/>
  </r>
  <r>
    <s v="2001807290"/>
    <n v="2001807290"/>
    <n v="8904223818706"/>
    <n v="1"/>
    <n v="127"/>
    <n v="127"/>
    <n v="0.127"/>
    <n v="0.5"/>
    <x v="1"/>
    <s v="Forward charges"/>
    <n v="45.4"/>
    <n v="44.8"/>
    <n v="0"/>
    <n v="45.4"/>
    <n v="45.4"/>
    <n v="0"/>
    <x v="1"/>
  </r>
  <r>
    <s v="2001807290"/>
    <n v="2001807290"/>
    <n v="8904223818942"/>
    <n v="1"/>
    <n v="133"/>
    <n v="133"/>
    <n v="0.13300000000000001"/>
    <n v="0.5"/>
    <x v="1"/>
    <s v="Forward charges"/>
    <n v="45.4"/>
    <n v="44.8"/>
    <n v="0"/>
    <n v="45.4"/>
    <n v="45.4"/>
    <n v="0"/>
    <x v="1"/>
  </r>
  <r>
    <s v="2001807290"/>
    <n v="2001807290"/>
    <n v="8904223818850"/>
    <n v="1"/>
    <n v="240"/>
    <n v="240"/>
    <n v="0.24"/>
    <n v="0.5"/>
    <x v="1"/>
    <s v="Forward charges"/>
    <n v="45.4"/>
    <n v="44.8"/>
    <n v="0"/>
    <n v="45.4"/>
    <n v="45.4"/>
    <n v="0"/>
    <x v="1"/>
  </r>
  <r>
    <s v="2001807241"/>
    <n v="2001807241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7241"/>
    <n v="2001807241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7241"/>
    <n v="2001807241"/>
    <n v="8904223819468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7186"/>
    <n v="2001807186"/>
    <n v="8904223818706"/>
    <n v="1"/>
    <n v="127"/>
    <n v="127"/>
    <n v="0.127"/>
    <n v="0.5"/>
    <x v="1"/>
    <s v="Forward charges"/>
    <n v="45.4"/>
    <n v="44.8"/>
    <n v="0"/>
    <n v="45.4"/>
    <n v="45.4"/>
    <n v="0"/>
    <x v="1"/>
  </r>
  <r>
    <s v="2001807186"/>
    <n v="2001807186"/>
    <n v="8904223818942"/>
    <n v="1"/>
    <n v="133"/>
    <n v="133"/>
    <n v="0.13300000000000001"/>
    <n v="0.5"/>
    <x v="1"/>
    <s v="Forward charges"/>
    <n v="45.4"/>
    <n v="44.8"/>
    <n v="0"/>
    <n v="45.4"/>
    <n v="45.4"/>
    <n v="0"/>
    <x v="1"/>
  </r>
  <r>
    <s v="2001807186"/>
    <n v="2001807186"/>
    <n v="8904223818850"/>
    <n v="1"/>
    <n v="240"/>
    <n v="240"/>
    <n v="0.24"/>
    <n v="0.5"/>
    <x v="1"/>
    <s v="Forward charges"/>
    <n v="45.4"/>
    <n v="44.8"/>
    <n v="0"/>
    <n v="45.4"/>
    <n v="45.4"/>
    <n v="0"/>
    <x v="1"/>
  </r>
  <r>
    <s v="2001807084"/>
    <n v="2001807084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7084"/>
    <n v="2001807084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7084"/>
    <n v="2001807084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7058"/>
    <n v="2001807058"/>
    <n v="8904223819239"/>
    <n v="1"/>
    <n v="290"/>
    <n v="290"/>
    <n v="0.28999999999999998"/>
    <n v="0.5"/>
    <x v="0"/>
    <s v="Forward charges"/>
    <n v="33"/>
    <n v="28.3"/>
    <n v="0"/>
    <n v="33"/>
    <n v="89.6"/>
    <n v="56.599999999999994"/>
    <x v="0"/>
  </r>
  <r>
    <s v="2001807058"/>
    <n v="2001807058"/>
    <n v="8904223819246"/>
    <n v="1"/>
    <n v="290"/>
    <n v="290"/>
    <n v="0.28999999999999998"/>
    <n v="0.5"/>
    <x v="0"/>
    <s v="Forward charges"/>
    <n v="33"/>
    <n v="28.3"/>
    <n v="0"/>
    <n v="33"/>
    <n v="89.6"/>
    <n v="56.599999999999994"/>
    <x v="0"/>
  </r>
  <r>
    <s v="2001807058"/>
    <n v="2001807058"/>
    <n v="8904223819253"/>
    <n v="1"/>
    <n v="290"/>
    <n v="290"/>
    <n v="0.28999999999999998"/>
    <n v="0.5"/>
    <x v="0"/>
    <s v="Forward charges"/>
    <n v="33"/>
    <n v="28.3"/>
    <n v="0"/>
    <n v="33"/>
    <n v="89.6"/>
    <n v="56.599999999999994"/>
    <x v="0"/>
  </r>
  <r>
    <s v="2001807058"/>
    <n v="2001807058"/>
    <n v="8904223818713"/>
    <n v="1"/>
    <n v="120"/>
    <n v="120"/>
    <n v="0.12"/>
    <n v="0.5"/>
    <x v="0"/>
    <s v="Forward charges"/>
    <n v="33"/>
    <n v="28.3"/>
    <n v="0"/>
    <n v="33"/>
    <n v="89.6"/>
    <n v="56.599999999999994"/>
    <x v="0"/>
  </r>
  <r>
    <s v="2001807058"/>
    <n v="2001807058"/>
    <n v="8904223817273"/>
    <n v="1"/>
    <n v="65"/>
    <n v="65"/>
    <n v="6.5000000000000002E-2"/>
    <n v="0.5"/>
    <x v="0"/>
    <s v="Forward charges"/>
    <n v="33"/>
    <n v="28.3"/>
    <n v="0"/>
    <n v="33"/>
    <n v="89.6"/>
    <n v="56.599999999999994"/>
    <x v="0"/>
  </r>
  <r>
    <s v="2001807058"/>
    <n v="2001807058"/>
    <n v="8904223818751"/>
    <n v="1"/>
    <n v="113"/>
    <n v="113"/>
    <n v="0.113"/>
    <n v="0.5"/>
    <x v="0"/>
    <s v="Forward charges"/>
    <n v="33"/>
    <n v="28.3"/>
    <n v="0"/>
    <n v="33"/>
    <n v="89.6"/>
    <n v="56.599999999999994"/>
    <x v="0"/>
  </r>
  <r>
    <s v="2001807036"/>
    <n v="2001807036"/>
    <n v="8904223819291"/>
    <n v="4"/>
    <n v="112"/>
    <n v="448"/>
    <n v="0.44800000000000001"/>
    <n v="0.5"/>
    <x v="1"/>
    <s v="Forward charges"/>
    <n v="45.4"/>
    <n v="44.8"/>
    <n v="0"/>
    <n v="45.4"/>
    <n v="179.8"/>
    <n v="134.4"/>
    <x v="0"/>
  </r>
  <r>
    <s v="2001807036"/>
    <n v="2001807036"/>
    <n v="8904223819031"/>
    <n v="4"/>
    <n v="112"/>
    <n v="448"/>
    <n v="0.44800000000000001"/>
    <n v="0.5"/>
    <x v="1"/>
    <s v="Forward charges"/>
    <n v="45.4"/>
    <n v="44.8"/>
    <n v="0"/>
    <n v="45.4"/>
    <n v="179.8"/>
    <n v="134.4"/>
    <x v="0"/>
  </r>
  <r>
    <s v="2001807036"/>
    <n v="2001807036"/>
    <n v="8904223819024"/>
    <n v="4"/>
    <n v="112"/>
    <n v="448"/>
    <n v="0.44800000000000001"/>
    <n v="0.5"/>
    <x v="1"/>
    <s v="Forward charges"/>
    <n v="45.4"/>
    <n v="44.8"/>
    <n v="0"/>
    <n v="45.4"/>
    <n v="179.8"/>
    <n v="134.4"/>
    <x v="0"/>
  </r>
  <r>
    <s v="2001807036"/>
    <n v="2001807036"/>
    <n v="8904223819017"/>
    <n v="1"/>
    <n v="115"/>
    <n v="115"/>
    <n v="0.115"/>
    <n v="0.5"/>
    <x v="1"/>
    <s v="Forward charges"/>
    <n v="45.4"/>
    <n v="44.8"/>
    <n v="0"/>
    <n v="45.4"/>
    <n v="179.8"/>
    <n v="134.4"/>
    <x v="0"/>
  </r>
  <r>
    <s v="2001807012"/>
    <n v="2001807012"/>
    <n v="8904223819468"/>
    <n v="1"/>
    <n v="240"/>
    <n v="240"/>
    <n v="0.24"/>
    <n v="0.5"/>
    <x v="1"/>
    <s v="Forward charges"/>
    <n v="45.4"/>
    <n v="44.8"/>
    <n v="0"/>
    <n v="45.4"/>
    <n v="45.4"/>
    <n v="0"/>
    <x v="1"/>
  </r>
  <r>
    <s v="2001807004"/>
    <n v="2001807004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7004"/>
    <n v="2001807004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7004"/>
    <n v="2001807004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6968"/>
    <n v="2001806968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6968"/>
    <n v="2001806968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6968"/>
    <n v="2001806968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6885"/>
    <n v="2001806885"/>
    <n v="8904223819499"/>
    <n v="2"/>
    <n v="210"/>
    <n v="420"/>
    <n v="0.42"/>
    <n v="0.5"/>
    <x v="0"/>
    <s v="Forward charges"/>
    <n v="33"/>
    <n v="28.3"/>
    <n v="0"/>
    <n v="33"/>
    <n v="61.3"/>
    <n v="28.299999999999997"/>
    <x v="0"/>
  </r>
  <r>
    <s v="2001806885"/>
    <n v="2001806885"/>
    <n v="8904223819499"/>
    <n v="2"/>
    <n v="210"/>
    <n v="420"/>
    <n v="0.42"/>
    <n v="0.5"/>
    <x v="0"/>
    <s v="Forward charges"/>
    <n v="33"/>
    <n v="28.3"/>
    <n v="0"/>
    <n v="33"/>
    <n v="61.3"/>
    <n v="28.299999999999997"/>
    <x v="0"/>
  </r>
  <r>
    <s v="2001806828"/>
    <n v="2001806828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6828"/>
    <n v="2001806828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6828"/>
    <n v="2001806828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6823"/>
    <n v="2001806823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6801"/>
    <n v="2001806801"/>
    <n v="8904223818850"/>
    <n v="1"/>
    <n v="240"/>
    <n v="240"/>
    <n v="0.24"/>
    <n v="0.5"/>
    <x v="0"/>
    <s v="Forward charges"/>
    <n v="33"/>
    <n v="28.3"/>
    <n v="0"/>
    <n v="33"/>
    <n v="89.6"/>
    <n v="56.599999999999994"/>
    <x v="0"/>
  </r>
  <r>
    <s v="2001806801"/>
    <n v="2001806801"/>
    <n v="8904223818683"/>
    <n v="1"/>
    <n v="121"/>
    <n v="121"/>
    <n v="0.121"/>
    <n v="0.5"/>
    <x v="0"/>
    <s v="Forward charges"/>
    <n v="33"/>
    <n v="28.3"/>
    <n v="0"/>
    <n v="33"/>
    <n v="89.6"/>
    <n v="56.599999999999994"/>
    <x v="0"/>
  </r>
  <r>
    <s v="2001806776"/>
    <n v="2001806776"/>
    <n v="8904223818706"/>
    <n v="1"/>
    <n v="127"/>
    <n v="127"/>
    <n v="0.127"/>
    <n v="0.5"/>
    <x v="0"/>
    <s v="Forward charges"/>
    <n v="33"/>
    <n v="28.3"/>
    <n v="0"/>
    <n v="33"/>
    <n v="174.5"/>
    <n v="141.5"/>
    <x v="0"/>
  </r>
  <r>
    <s v="2001806776"/>
    <n v="2001806776"/>
    <n v="8904223818638"/>
    <n v="2"/>
    <n v="137"/>
    <n v="274"/>
    <n v="0.27400000000000002"/>
    <n v="0.5"/>
    <x v="0"/>
    <s v="Forward charges"/>
    <n v="33"/>
    <n v="28.3"/>
    <n v="0"/>
    <n v="33"/>
    <n v="174.5"/>
    <n v="141.5"/>
    <x v="0"/>
  </r>
  <r>
    <s v="2001806776"/>
    <n v="2001806776"/>
    <n v="8904223819505"/>
    <n v="1"/>
    <n v="210"/>
    <n v="210"/>
    <n v="0.21"/>
    <n v="0.5"/>
    <x v="0"/>
    <s v="Forward charges"/>
    <n v="33"/>
    <n v="28.3"/>
    <n v="0"/>
    <n v="33"/>
    <n v="174.5"/>
    <n v="141.5"/>
    <x v="0"/>
  </r>
  <r>
    <s v="2001806768"/>
    <n v="2001806768"/>
    <n v="8904223819512"/>
    <n v="4"/>
    <n v="210"/>
    <n v="840"/>
    <n v="0.84"/>
    <n v="1"/>
    <x v="1"/>
    <s v="Forward charges"/>
    <n v="45.4"/>
    <n v="44.8"/>
    <n v="1"/>
    <n v="90.199999999999989"/>
    <n v="135"/>
    <n v="44.800000000000011"/>
    <x v="0"/>
  </r>
  <r>
    <s v="2001806735"/>
    <n v="2001806735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6735"/>
    <n v="2001806735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6735"/>
    <n v="2001806735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6733"/>
    <n v="2001806733"/>
    <n v="8904223819031"/>
    <n v="1"/>
    <n v="112"/>
    <n v="112"/>
    <n v="0.112"/>
    <n v="0.5"/>
    <x v="1"/>
    <s v="Forward charges"/>
    <n v="45.4"/>
    <n v="44.8"/>
    <n v="0"/>
    <n v="45.4"/>
    <n v="135"/>
    <n v="89.6"/>
    <x v="0"/>
  </r>
  <r>
    <s v="2001806733"/>
    <n v="2001806733"/>
    <n v="8904223818430"/>
    <n v="1"/>
    <n v="165"/>
    <n v="165"/>
    <n v="0.16500000000000001"/>
    <n v="0.5"/>
    <x v="1"/>
    <s v="Forward charges"/>
    <n v="45.4"/>
    <n v="44.8"/>
    <n v="0"/>
    <n v="45.4"/>
    <n v="135"/>
    <n v="89.6"/>
    <x v="0"/>
  </r>
  <r>
    <s v="2001806733"/>
    <n v="2001806733"/>
    <n v="8904223818850"/>
    <n v="1"/>
    <n v="240"/>
    <n v="240"/>
    <n v="0.24"/>
    <n v="0.5"/>
    <x v="1"/>
    <s v="Forward charges"/>
    <n v="45.4"/>
    <n v="44.8"/>
    <n v="0"/>
    <n v="45.4"/>
    <n v="135"/>
    <n v="89.6"/>
    <x v="0"/>
  </r>
  <r>
    <s v="2001806733"/>
    <n v="2001806733"/>
    <n v="8904223819512"/>
    <n v="1"/>
    <n v="210"/>
    <n v="210"/>
    <n v="0.21"/>
    <n v="0.5"/>
    <x v="1"/>
    <s v="Forward charges"/>
    <n v="45.4"/>
    <n v="44.8"/>
    <n v="0"/>
    <n v="45.4"/>
    <n v="135"/>
    <n v="89.6"/>
    <x v="0"/>
  </r>
  <r>
    <s v="2001806733"/>
    <n v="2001806733"/>
    <n v="8904223819468"/>
    <n v="1"/>
    <n v="240"/>
    <n v="240"/>
    <n v="0.24"/>
    <n v="0.5"/>
    <x v="1"/>
    <s v="Forward charges"/>
    <n v="45.4"/>
    <n v="44.8"/>
    <n v="0"/>
    <n v="45.4"/>
    <n v="135"/>
    <n v="89.6"/>
    <x v="0"/>
  </r>
  <r>
    <s v="2001806726"/>
    <n v="2001806726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6726"/>
    <n v="2001806726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6726"/>
    <n v="2001806726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6686"/>
    <n v="2001806686"/>
    <n v="8904223819468"/>
    <n v="1"/>
    <n v="240"/>
    <n v="240"/>
    <n v="0.24"/>
    <n v="0.5"/>
    <x v="1"/>
    <s v="Forward charges"/>
    <n v="45.4"/>
    <n v="44.8"/>
    <n v="0"/>
    <n v="45.4"/>
    <n v="45.4"/>
    <n v="0"/>
    <x v="1"/>
  </r>
  <r>
    <s v="2001806652"/>
    <n v="2001806652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6652"/>
    <n v="2001806652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6652"/>
    <n v="2001806652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6616"/>
    <n v="2001806616"/>
    <n v="8904223818669"/>
    <n v="1"/>
    <n v="240"/>
    <n v="240"/>
    <n v="0.24"/>
    <n v="0.5"/>
    <x v="0"/>
    <s v="Forward charges"/>
    <n v="33"/>
    <n v="28.3"/>
    <n v="0"/>
    <n v="33"/>
    <n v="89.6"/>
    <n v="56.599999999999994"/>
    <x v="0"/>
  </r>
  <r>
    <s v="2001806616"/>
    <n v="2001806616"/>
    <n v="8904223818683"/>
    <n v="1"/>
    <n v="121"/>
    <n v="121"/>
    <n v="0.121"/>
    <n v="0.5"/>
    <x v="0"/>
    <s v="Forward charges"/>
    <n v="33"/>
    <n v="28.3"/>
    <n v="0"/>
    <n v="33"/>
    <n v="89.6"/>
    <n v="56.599999999999994"/>
    <x v="0"/>
  </r>
  <r>
    <s v="2001806616"/>
    <n v="2001806616"/>
    <n v="8904223818935"/>
    <n v="1"/>
    <n v="120"/>
    <n v="120"/>
    <n v="0.12"/>
    <n v="0.5"/>
    <x v="0"/>
    <s v="Forward charges"/>
    <n v="33"/>
    <n v="28.3"/>
    <n v="0"/>
    <n v="33"/>
    <n v="89.6"/>
    <n v="56.599999999999994"/>
    <x v="0"/>
  </r>
  <r>
    <s v="2001806616"/>
    <n v="2001806616"/>
    <n v="8904223818713"/>
    <n v="1"/>
    <n v="120"/>
    <n v="120"/>
    <n v="0.12"/>
    <n v="0.5"/>
    <x v="0"/>
    <s v="Forward charges"/>
    <n v="33"/>
    <n v="28.3"/>
    <n v="0"/>
    <n v="33"/>
    <n v="89.6"/>
    <n v="56.599999999999994"/>
    <x v="0"/>
  </r>
  <r>
    <s v="2001806616"/>
    <n v="2001806616"/>
    <n v="8904223819024"/>
    <n v="1"/>
    <n v="112"/>
    <n v="112"/>
    <n v="0.112"/>
    <n v="0.5"/>
    <x v="0"/>
    <s v="Forward charges"/>
    <n v="33"/>
    <n v="28.3"/>
    <n v="0"/>
    <n v="33"/>
    <n v="89.6"/>
    <n v="56.599999999999994"/>
    <x v="0"/>
  </r>
  <r>
    <s v="2001806616"/>
    <n v="2001806616"/>
    <n v="8904223819123"/>
    <n v="1"/>
    <n v="250"/>
    <n v="250"/>
    <n v="0.25"/>
    <n v="0.5"/>
    <x v="0"/>
    <s v="Forward charges"/>
    <n v="33"/>
    <n v="28.3"/>
    <n v="0"/>
    <n v="33"/>
    <n v="89.6"/>
    <n v="56.599999999999994"/>
    <x v="0"/>
  </r>
  <r>
    <s v="2001806575"/>
    <n v="2001806575"/>
    <n v="8904223818706"/>
    <n v="1"/>
    <n v="127"/>
    <n v="127"/>
    <n v="0.127"/>
    <n v="0.5"/>
    <x v="0"/>
    <s v="Forward charges"/>
    <n v="33"/>
    <n v="28.3"/>
    <n v="0"/>
    <n v="33"/>
    <n v="61.3"/>
    <n v="28.299999999999997"/>
    <x v="0"/>
  </r>
  <r>
    <s v="2001806575"/>
    <n v="2001806575"/>
    <n v="8904223818942"/>
    <n v="1"/>
    <n v="133"/>
    <n v="133"/>
    <n v="0.13300000000000001"/>
    <n v="0.5"/>
    <x v="0"/>
    <s v="Forward charges"/>
    <n v="33"/>
    <n v="28.3"/>
    <n v="0"/>
    <n v="33"/>
    <n v="61.3"/>
    <n v="28.299999999999997"/>
    <x v="0"/>
  </r>
  <r>
    <s v="2001806575"/>
    <n v="2001806575"/>
    <n v="8904223818850"/>
    <n v="1"/>
    <n v="240"/>
    <n v="240"/>
    <n v="0.24"/>
    <n v="0.5"/>
    <x v="0"/>
    <s v="Forward charges"/>
    <n v="33"/>
    <n v="28.3"/>
    <n v="0"/>
    <n v="33"/>
    <n v="61.3"/>
    <n v="28.299999999999997"/>
    <x v="0"/>
  </r>
  <r>
    <s v="2001806567"/>
    <n v="2001806567"/>
    <n v="8904223818591"/>
    <n v="1"/>
    <n v="120"/>
    <n v="120"/>
    <n v="0.12"/>
    <n v="0.5"/>
    <x v="1"/>
    <s v="Forward charges"/>
    <n v="45.4"/>
    <n v="44.8"/>
    <n v="0"/>
    <n v="45.4"/>
    <n v="135"/>
    <n v="89.6"/>
    <x v="0"/>
  </r>
  <r>
    <s v="2001806567"/>
    <n v="2001806567"/>
    <n v="8904223816214"/>
    <n v="1"/>
    <n v="120"/>
    <n v="120"/>
    <n v="0.12"/>
    <n v="0.5"/>
    <x v="1"/>
    <s v="Forward charges"/>
    <n v="45.4"/>
    <n v="44.8"/>
    <n v="0"/>
    <n v="45.4"/>
    <n v="135"/>
    <n v="89.6"/>
    <x v="0"/>
  </r>
  <r>
    <s v="2001806567"/>
    <n v="2001806567"/>
    <n v="8904223819024"/>
    <n v="1"/>
    <n v="112"/>
    <n v="112"/>
    <n v="0.112"/>
    <n v="0.5"/>
    <x v="1"/>
    <s v="Forward charges"/>
    <n v="45.4"/>
    <n v="44.8"/>
    <n v="0"/>
    <n v="45.4"/>
    <n v="135"/>
    <n v="89.6"/>
    <x v="0"/>
  </r>
  <r>
    <s v="2001806567"/>
    <n v="2001806567"/>
    <n v="8904223819253"/>
    <n v="1"/>
    <n v="290"/>
    <n v="290"/>
    <n v="0.28999999999999998"/>
    <n v="0.5"/>
    <x v="1"/>
    <s v="Forward charges"/>
    <n v="45.4"/>
    <n v="44.8"/>
    <n v="0"/>
    <n v="45.4"/>
    <n v="135"/>
    <n v="89.6"/>
    <x v="0"/>
  </r>
  <r>
    <s v="2001806567"/>
    <n v="2001806567"/>
    <n v="8904223815804"/>
    <n v="1"/>
    <n v="160"/>
    <n v="160"/>
    <n v="0.16"/>
    <n v="0.5"/>
    <x v="1"/>
    <s v="Forward charges"/>
    <n v="45.4"/>
    <n v="44.8"/>
    <n v="0"/>
    <n v="45.4"/>
    <n v="135"/>
    <n v="89.6"/>
    <x v="0"/>
  </r>
  <r>
    <s v="2001806567"/>
    <n v="2001806567"/>
    <n v="8904223818577"/>
    <n v="1"/>
    <n v="150"/>
    <n v="150"/>
    <n v="0.15"/>
    <n v="0.5"/>
    <x v="1"/>
    <s v="Forward charges"/>
    <n v="45.4"/>
    <n v="44.8"/>
    <n v="0"/>
    <n v="45.4"/>
    <n v="135"/>
    <n v="89.6"/>
    <x v="0"/>
  </r>
  <r>
    <s v="2001806547"/>
    <n v="2001806547"/>
    <n v="8904223818706"/>
    <n v="1"/>
    <n v="127"/>
    <n v="127"/>
    <n v="0.127"/>
    <n v="0.5"/>
    <x v="0"/>
    <s v="Forward charges"/>
    <n v="33"/>
    <n v="28.3"/>
    <n v="0"/>
    <n v="33"/>
    <n v="61.3"/>
    <n v="28.299999999999997"/>
    <x v="0"/>
  </r>
  <r>
    <s v="2001806533"/>
    <n v="2001806533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6533"/>
    <n v="2001806533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6533"/>
    <n v="2001806533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6471"/>
    <n v="2001806471"/>
    <n v="8904223818706"/>
    <n v="2"/>
    <n v="127"/>
    <n v="254"/>
    <n v="0.254"/>
    <n v="0.5"/>
    <x v="1"/>
    <s v="Forward charges"/>
    <n v="45.4"/>
    <n v="44.8"/>
    <n v="0"/>
    <n v="45.4"/>
    <n v="179.8"/>
    <n v="134.4"/>
    <x v="0"/>
  </r>
  <r>
    <s v="2001806471"/>
    <n v="2001806471"/>
    <n v="8904223818942"/>
    <n v="2"/>
    <n v="133"/>
    <n v="266"/>
    <n v="0.26600000000000001"/>
    <n v="0.5"/>
    <x v="1"/>
    <s v="Forward charges"/>
    <n v="45.4"/>
    <n v="44.8"/>
    <n v="0"/>
    <n v="45.4"/>
    <n v="179.8"/>
    <n v="134.4"/>
    <x v="0"/>
  </r>
  <r>
    <s v="2001806471"/>
    <n v="2001806471"/>
    <n v="8904223818850"/>
    <n v="2"/>
    <n v="240"/>
    <n v="480"/>
    <n v="0.48"/>
    <n v="0.5"/>
    <x v="1"/>
    <s v="Forward charges"/>
    <n v="45.4"/>
    <n v="44.8"/>
    <n v="0"/>
    <n v="45.4"/>
    <n v="179.8"/>
    <n v="134.4"/>
    <x v="0"/>
  </r>
  <r>
    <s v="2001806471"/>
    <n v="2001806471"/>
    <n v="8904223818706"/>
    <n v="1"/>
    <n v="127"/>
    <n v="127"/>
    <n v="0.127"/>
    <n v="0.5"/>
    <x v="1"/>
    <s v="Forward charges"/>
    <n v="45.4"/>
    <n v="44.8"/>
    <n v="0"/>
    <n v="45.4"/>
    <n v="179.8"/>
    <n v="134.4"/>
    <x v="0"/>
  </r>
  <r>
    <s v="2001806471"/>
    <n v="2001806471"/>
    <n v="8904223818942"/>
    <n v="1"/>
    <n v="133"/>
    <n v="133"/>
    <n v="0.13300000000000001"/>
    <n v="0.5"/>
    <x v="1"/>
    <s v="Forward charges"/>
    <n v="45.4"/>
    <n v="44.8"/>
    <n v="0"/>
    <n v="45.4"/>
    <n v="179.8"/>
    <n v="134.4"/>
    <x v="0"/>
  </r>
  <r>
    <s v="2001806471"/>
    <n v="2001806471"/>
    <n v="8904223818850"/>
    <n v="1"/>
    <n v="240"/>
    <n v="240"/>
    <n v="0.24"/>
    <n v="0.5"/>
    <x v="1"/>
    <s v="Forward charges"/>
    <n v="45.4"/>
    <n v="44.8"/>
    <n v="0"/>
    <n v="45.4"/>
    <n v="179.8"/>
    <n v="134.4"/>
    <x v="0"/>
  </r>
  <r>
    <s v="2001806471"/>
    <n v="2001806471"/>
    <n v="8904223818683"/>
    <n v="1"/>
    <n v="121"/>
    <n v="121"/>
    <n v="0.121"/>
    <n v="0.5"/>
    <x v="1"/>
    <s v="Forward charges"/>
    <n v="45.4"/>
    <n v="44.8"/>
    <n v="0"/>
    <n v="45.4"/>
    <n v="179.8"/>
    <n v="134.4"/>
    <x v="0"/>
  </r>
  <r>
    <s v="2001806458"/>
    <n v="2001806458"/>
    <n v="8904223819284"/>
    <n v="1"/>
    <n v="350"/>
    <n v="350"/>
    <n v="0.35"/>
    <n v="0.5"/>
    <x v="0"/>
    <s v="Forward charges"/>
    <n v="33"/>
    <n v="28.3"/>
    <n v="0"/>
    <n v="33"/>
    <n v="61.3"/>
    <n v="28.299999999999997"/>
    <x v="0"/>
  </r>
  <r>
    <s v="2001806458"/>
    <n v="2001806458"/>
    <n v="8904223818478"/>
    <n v="1"/>
    <n v="350"/>
    <n v="350"/>
    <n v="0.35"/>
    <n v="0.5"/>
    <x v="0"/>
    <s v="Forward charges"/>
    <n v="33"/>
    <n v="28.3"/>
    <n v="0"/>
    <n v="33"/>
    <n v="61.3"/>
    <n v="28.299999999999997"/>
    <x v="0"/>
  </r>
  <r>
    <s v="2001806446"/>
    <n v="2001806446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6446"/>
    <n v="2001806446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6446"/>
    <n v="2001806446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6408"/>
    <n v="2001806408"/>
    <n v="8904223819437"/>
    <n v="2"/>
    <n v="552"/>
    <n v="1104"/>
    <n v="1.1040000000000001"/>
    <n v="1.5"/>
    <x v="1"/>
    <s v="Forward charges"/>
    <n v="45.4"/>
    <n v="44.8"/>
    <n v="2"/>
    <n v="135"/>
    <n v="224.6"/>
    <n v="89.6"/>
    <x v="0"/>
  </r>
  <r>
    <s v="2001806408"/>
    <n v="2001806408"/>
    <n v="8904223819352"/>
    <n v="1"/>
    <n v="165"/>
    <n v="165"/>
    <n v="0.16500000000000001"/>
    <n v="0.5"/>
    <x v="1"/>
    <s v="Forward charges"/>
    <n v="45.4"/>
    <n v="44.8"/>
    <n v="0"/>
    <n v="45.4"/>
    <n v="224.6"/>
    <n v="179.2"/>
    <x v="0"/>
  </r>
  <r>
    <s v="2001806408"/>
    <n v="2001806408"/>
    <n v="8904223819024"/>
    <n v="8"/>
    <n v="112"/>
    <n v="896"/>
    <n v="0.89600000000000002"/>
    <n v="1"/>
    <x v="1"/>
    <s v="Forward charges"/>
    <n v="45.4"/>
    <n v="44.8"/>
    <n v="1"/>
    <n v="90.199999999999989"/>
    <n v="224.6"/>
    <n v="134.4"/>
    <x v="0"/>
  </r>
  <r>
    <s v="2001806408"/>
    <n v="2001806408"/>
    <n v="8904223818874"/>
    <n v="1"/>
    <n v="100"/>
    <n v="100"/>
    <n v="0.1"/>
    <n v="0.5"/>
    <x v="1"/>
    <s v="Forward charges"/>
    <n v="45.4"/>
    <n v="44.8"/>
    <n v="0"/>
    <n v="45.4"/>
    <n v="224.6"/>
    <n v="179.2"/>
    <x v="0"/>
  </r>
  <r>
    <s v="2001806338"/>
    <n v="2001806338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6338"/>
    <n v="2001806338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6338"/>
    <n v="2001806338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6304"/>
    <n v="2001806304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6304"/>
    <n v="2001806304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6304"/>
    <n v="2001806304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6273"/>
    <n v="2001806273"/>
    <n v="8904223819017"/>
    <n v="1"/>
    <n v="115"/>
    <n v="115"/>
    <n v="0.115"/>
    <n v="0.5"/>
    <x v="1"/>
    <s v="Forward charges"/>
    <n v="45.4"/>
    <n v="44.8"/>
    <n v="0"/>
    <n v="45.4"/>
    <n v="90.2"/>
    <n v="44.800000000000004"/>
    <x v="0"/>
  </r>
  <r>
    <s v="2001806273"/>
    <n v="2001806273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6273"/>
    <n v="2001806273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6273"/>
    <n v="2001806273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6251"/>
    <n v="2001806251"/>
    <n v="8904223819161"/>
    <n v="1"/>
    <n v="115"/>
    <n v="115"/>
    <n v="0.115"/>
    <n v="0.5"/>
    <x v="1"/>
    <s v="Forward charges"/>
    <n v="45.4"/>
    <n v="44.8"/>
    <n v="0"/>
    <n v="45.4"/>
    <n v="135"/>
    <n v="89.6"/>
    <x v="0"/>
  </r>
  <r>
    <s v="2001806251"/>
    <n v="2001806251"/>
    <n v="8904223819260"/>
    <n v="1"/>
    <n v="130"/>
    <n v="130"/>
    <n v="0.13"/>
    <n v="0.5"/>
    <x v="1"/>
    <s v="Forward charges"/>
    <n v="45.4"/>
    <n v="44.8"/>
    <n v="0"/>
    <n v="45.4"/>
    <n v="135"/>
    <n v="89.6"/>
    <x v="0"/>
  </r>
  <r>
    <s v="2001806233"/>
    <n v="2001806233"/>
    <n v="8904223819161"/>
    <n v="1"/>
    <n v="115"/>
    <n v="115"/>
    <n v="0.115"/>
    <n v="0.5"/>
    <x v="0"/>
    <s v="Forward charges"/>
    <n v="33"/>
    <n v="28.3"/>
    <n v="0"/>
    <n v="33"/>
    <n v="61.3"/>
    <n v="28.299999999999997"/>
    <x v="0"/>
  </r>
  <r>
    <s v="2001806233"/>
    <n v="2001806233"/>
    <n v="8904223819260"/>
    <n v="1"/>
    <n v="130"/>
    <n v="130"/>
    <n v="0.13"/>
    <n v="0.5"/>
    <x v="0"/>
    <s v="Forward charges"/>
    <n v="33"/>
    <n v="28.3"/>
    <n v="0"/>
    <n v="33"/>
    <n v="61.3"/>
    <n v="28.299999999999997"/>
    <x v="0"/>
  </r>
  <r>
    <s v="2001806232"/>
    <n v="2001806232"/>
    <n v="8904223818645"/>
    <n v="6"/>
    <n v="137"/>
    <n v="822"/>
    <n v="0.82199999999999995"/>
    <n v="1"/>
    <x v="1"/>
    <s v="Forward charges"/>
    <n v="45.4"/>
    <n v="44.8"/>
    <n v="1"/>
    <n v="90.199999999999989"/>
    <n v="135"/>
    <n v="44.800000000000011"/>
    <x v="0"/>
  </r>
  <r>
    <s v="2001806232"/>
    <n v="2001806232"/>
    <n v="8904223819147"/>
    <n v="2"/>
    <n v="240"/>
    <n v="480"/>
    <n v="0.48"/>
    <n v="0.5"/>
    <x v="1"/>
    <s v="Forward charges"/>
    <n v="45.4"/>
    <n v="44.8"/>
    <n v="0"/>
    <n v="45.4"/>
    <n v="135"/>
    <n v="89.6"/>
    <x v="0"/>
  </r>
  <r>
    <s v="2001806229"/>
    <n v="2001806229"/>
    <n v="8904223818706"/>
    <n v="1"/>
    <n v="127"/>
    <n v="127"/>
    <n v="0.127"/>
    <n v="0.5"/>
    <x v="1"/>
    <s v="Forward charges"/>
    <n v="45.4"/>
    <n v="44.8"/>
    <n v="0"/>
    <n v="45.4"/>
    <n v="90.2"/>
    <n v="44.800000000000004"/>
    <x v="0"/>
  </r>
  <r>
    <s v="2001806229"/>
    <n v="2001806229"/>
    <n v="8904223818942"/>
    <n v="1"/>
    <n v="133"/>
    <n v="133"/>
    <n v="0.13300000000000001"/>
    <n v="0.5"/>
    <x v="1"/>
    <s v="Forward charges"/>
    <n v="45.4"/>
    <n v="44.8"/>
    <n v="0"/>
    <n v="45.4"/>
    <n v="90.2"/>
    <n v="44.800000000000004"/>
    <x v="0"/>
  </r>
  <r>
    <s v="2001806229"/>
    <n v="2001806229"/>
    <n v="8904223818850"/>
    <n v="1"/>
    <n v="240"/>
    <n v="240"/>
    <n v="0.24"/>
    <n v="0.5"/>
    <x v="1"/>
    <s v="Forward charges"/>
    <n v="45.4"/>
    <n v="44.8"/>
    <n v="0"/>
    <n v="45.4"/>
    <n v="90.2"/>
    <n v="44.800000000000004"/>
    <x v="0"/>
  </r>
  <r>
    <s v="2001806226"/>
    <n v="2001806226"/>
    <n v="8904223818850"/>
    <n v="2"/>
    <n v="240"/>
    <n v="480"/>
    <n v="0.48"/>
    <n v="0.5"/>
    <x v="1"/>
    <s v="Forward charges"/>
    <n v="45.4"/>
    <n v="44.8"/>
    <n v="0"/>
    <n v="45.4"/>
    <n v="90.2"/>
    <n v="44.800000000000004"/>
    <x v="0"/>
  </r>
  <r>
    <s v="2001806210"/>
    <n v="2001806210"/>
    <n v="8904223816214"/>
    <n v="1"/>
    <n v="120"/>
    <n v="120"/>
    <n v="0.12"/>
    <n v="0.5"/>
    <x v="0"/>
    <s v="Forward charges"/>
    <n v="33"/>
    <n v="28.3"/>
    <n v="0"/>
    <n v="33"/>
    <n v="174.5"/>
    <n v="141.5"/>
    <x v="0"/>
  </r>
  <r>
    <s v="2001806210"/>
    <n v="2001806210"/>
    <n v="8904223818874"/>
    <n v="1"/>
    <n v="100"/>
    <n v="100"/>
    <n v="0.1"/>
    <n v="0.5"/>
    <x v="0"/>
    <s v="Forward charges"/>
    <n v="33"/>
    <n v="28.3"/>
    <n v="0"/>
    <n v="33"/>
    <n v="174.5"/>
    <n v="141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4930B-EFB9-424F-98F5-5CAC3E398667}" name="PivotTable5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E6" firstHeaderRow="0" firstDataRow="1" firstDataCol="1"/>
  <pivotFields count="17">
    <pivotField showAll="0"/>
    <pivotField dataField="1" numFmtId="1"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axis="axisRow" showAll="0">
      <items count="3">
        <item x="1"/>
        <item x="0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ID" fld="1" subtotal="count" baseField="16" baseItem="0"/>
    <dataField name="Sum of Difference" fld="15" baseField="0" baseItem="0"/>
    <dataField name="Sum of Billing Amount" fld="14" baseField="0" baseItem="0"/>
    <dataField name="Sum of Expected charges" fld="1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6A602F7-2112-4E31-92EE-F9D63DDB7890}" autoFormatId="16" applyNumberFormats="0" applyBorderFormats="0" applyFontFormats="0" applyPatternFormats="0" applyAlignmentFormats="0" applyWidthHeightFormats="0">
  <queryTableRefresh nextId="3">
    <queryTableFields count="2">
      <queryTableField id="1" name="SKU" tableColumnId="1"/>
      <queryTableField id="2" name="Weight (g)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5ADE99-3E9A-4E6D-8186-6106D2D7D874}" autoFormatId="16" applyNumberFormats="0" applyBorderFormats="0" applyFontFormats="0" applyPatternFormats="0" applyAlignmentFormats="0" applyWidthHeightFormats="0">
  <queryTableRefresh nextId="4">
    <queryTableFields count="3">
      <queryTableField id="1" name="Warehouse Pincode" tableColumnId="1"/>
      <queryTableField id="2" name="Customer Pincode" tableColumnId="2"/>
      <queryTableField id="3" name="Zon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8FB4BDA-B5F7-4F0E-AB27-6688788E1440}" autoFormatId="16" applyNumberFormats="0" applyBorderFormats="0" applyFontFormats="0" applyPatternFormats="0" applyAlignmentFormats="0" applyWidthHeightFormats="0">
  <queryTableRefresh nextId="11">
    <queryTableFields count="8">
      <queryTableField id="1" name="AWB Code" tableColumnId="1"/>
      <queryTableField id="2" name="Order ID" tableColumnId="2"/>
      <queryTableField id="3" name="Charged Weight" tableColumnId="3"/>
      <queryTableField id="4" name="Warehouse Pincode" tableColumnId="4"/>
      <queryTableField id="5" name="Customer Pincode" tableColumnId="5"/>
      <queryTableField id="6" name="Zone" tableColumnId="6"/>
      <queryTableField id="7" name="Type of Shipment" tableColumnId="7"/>
      <queryTableField id="8" name="Billing Amount (Rs.)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78B2A2-6BE0-47FB-8ECE-9A959A64981F}" autoFormatId="16" applyNumberFormats="0" applyBorderFormats="0" applyFontFormats="0" applyPatternFormats="0" applyAlignmentFormats="0" applyWidthHeightFormats="0">
  <queryTableRefresh nextId="21">
    <queryTableFields count="20">
      <queryTableField id="1" name="fwd_a_fixed" tableColumnId="1"/>
      <queryTableField id="2" name="fwd_a_additional" tableColumnId="2"/>
      <queryTableField id="3" name="fwd_b_fixed" tableColumnId="3"/>
      <queryTableField id="4" name="fwd_b_additional" tableColumnId="4"/>
      <queryTableField id="5" name="fwd_c_fixed" tableColumnId="5"/>
      <queryTableField id="6" name="fwd_c_additional" tableColumnId="6"/>
      <queryTableField id="7" name="fwd_d_fixed" tableColumnId="7"/>
      <queryTableField id="8" name="fwd_d_additional" tableColumnId="8"/>
      <queryTableField id="9" name="fwd_e_fixed" tableColumnId="9"/>
      <queryTableField id="10" name="fwd_e_additional" tableColumnId="10"/>
      <queryTableField id="11" name="rto_a_fixed" tableColumnId="11"/>
      <queryTableField id="12" name="rto_a_additional" tableColumnId="12"/>
      <queryTableField id="13" name="rto_b_fixed" tableColumnId="13"/>
      <queryTableField id="14" name="rto_b_additional" tableColumnId="14"/>
      <queryTableField id="15" name="rto_c_fixed" tableColumnId="15"/>
      <queryTableField id="16" name="rto_c_additional" tableColumnId="16"/>
      <queryTableField id="17" name="rto_d_fixed" tableColumnId="17"/>
      <queryTableField id="18" name="rto_d_additional" tableColumnId="18"/>
      <queryTableField id="19" name="rto_e_fixed" tableColumnId="19"/>
      <queryTableField id="20" name="rto_e_additional" tableColumnId="2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401" totalsRowShown="0" headerRowDxfId="16">
  <autoFilter ref="A1:Q401" xr:uid="{00000000-0009-0000-0100-000001000000}"/>
  <tableColumns count="17">
    <tableColumn id="1" xr3:uid="{00000000-0010-0000-0000-000001000000}" name="Order ID" dataDxfId="15"/>
    <tableColumn id="13" xr3:uid="{46F3ECFE-905F-4E92-A465-5802E22DCC17}" name="OrderID" dataDxfId="14">
      <calculatedColumnFormula>Table1[[#This Row],[Order ID]]*1</calculatedColumnFormula>
    </tableColumn>
    <tableColumn id="2" xr3:uid="{00000000-0010-0000-0000-000002000000}" name="SKU (Product Code)" dataDxfId="13"/>
    <tableColumn id="3" xr3:uid="{00000000-0010-0000-0000-000003000000}" name="Order Qty"/>
    <tableColumn id="4" xr3:uid="{A3A03DC6-EDDC-44FA-8412-01005EEC5CD6}" name="Product weight" dataDxfId="12">
      <calculatedColumnFormula>_xlfn.XLOOKUP(Table1[[#This Row],[SKU (Product Code)]],'SKU Master'!A:A,'SKU Master'!B:B)</calculatedColumnFormula>
    </tableColumn>
    <tableColumn id="5" xr3:uid="{3D65322E-A9DE-49BC-8BED-CBF481A1544A}" name="Weight per order (g)" dataDxfId="11">
      <calculatedColumnFormula>Table1[[#This Row],[Product weight]]*Table1[[#This Row],[Order Qty]]</calculatedColumnFormula>
    </tableColumn>
    <tableColumn id="6" xr3:uid="{EF3D78A6-E3D9-4500-944D-72B991046E98}" name="Weight per order (Kg)" dataDxfId="10">
      <calculatedColumnFormula>Table1[[#This Row],[Weight per order (g)]]/1000</calculatedColumnFormula>
    </tableColumn>
    <tableColumn id="7" xr3:uid="{D16B0101-413D-4FB1-AE94-EEB24AA362ED}" name="Weight slab" dataDxfId="9">
      <calculatedColumnFormula>CEILING(Table1[[#This Row],[Weight per order (Kg)]],0.5)</calculatedColumnFormula>
    </tableColumn>
    <tableColumn id="8" xr3:uid="{53A8D3AB-EEFB-479B-A317-D3D09B49D095}" name="Zone" dataDxfId="8">
      <calculatedColumnFormula>_xlfn.XLOOKUP(Table1[[#This Row],[OrderID]],'Courier company invoice'!B:B,'Courier company invoice'!F:F)</calculatedColumnFormula>
    </tableColumn>
    <tableColumn id="9" xr3:uid="{0781F3FD-947A-496E-9C3E-F39F8E7D14E0}" name="Type of shipment" dataDxfId="7">
      <calculatedColumnFormula>_xlfn.XLOOKUP(Table1[[#This Row],[OrderID]],Table2[Order ID],Table2[Type of Shipment],"Not Found")</calculatedColumnFormula>
    </tableColumn>
    <tableColumn id="14" xr3:uid="{F0A458A0-97B5-4506-94F5-EAD3BEB248AE}" name="Fixed_Charges" dataDxfId="6">
      <calculatedColumnFormula>INDEX(Sheet1[],1,MATCH("fwd_"&amp;Table1[[#This Row],[Zone]]&amp;"_fixed",Sheet1[#Headers],0))</calculatedColumnFormula>
    </tableColumn>
    <tableColumn id="15" xr3:uid="{E468C678-5832-4112-BFBC-DF3BCFA696B8}" name="Additional_Charges" dataDxfId="5">
      <calculatedColumnFormula>INDEX(Sheet1[],1,MATCH("fwd_"&amp;Table1[[#This Row],[Zone]]&amp;"_additional",Sheet1[#Headers],0))</calculatedColumnFormula>
    </tableColumn>
    <tableColumn id="16" xr3:uid="{8B3104C7-4552-4F77-8176-8DC078E6FD57}" name="No_of_Extra_slabs" dataDxfId="4">
      <calculatedColumnFormula>(Table1[[#This Row],[Weight slab]]-0.5)/0.5</calculatedColumnFormula>
    </tableColumn>
    <tableColumn id="17" xr3:uid="{9F1E2A15-86FB-4F2D-9669-6151E795F6CE}" name="Expected charges" dataDxfId="3">
      <calculatedColumnFormula>Table1[[#This Row],[Fixed_Charges]]+Table1[[#This Row],[No_of_Extra_slabs]]*Table1[[#This Row],[Additional_Charges]]</calculatedColumnFormula>
    </tableColumn>
    <tableColumn id="18" xr3:uid="{89AC9A1D-1108-46A6-AF87-FB10643AF5AC}" name="Billing Amount" dataDxfId="2">
      <calculatedColumnFormula>_xlfn.XLOOKUP(Table1[[#This Row],[OrderID]],'Courier company invoice'!B:B,'Courier company invoice'!H:H)</calculatedColumnFormula>
    </tableColumn>
    <tableColumn id="19" xr3:uid="{A6BF9EBB-6CE3-44C3-9B54-9FA766B82575}" name="Difference" dataDxfId="1">
      <calculatedColumnFormula>Table1[[#This Row],[Billing Amount]]-Table1[[#This Row],[Expected charges]]</calculatedColumnFormula>
    </tableColumn>
    <tableColumn id="20" xr3:uid="{D2EE900F-7C01-4A92-8E41-72CDFD24765F}" name="Charge Type" dataDxfId="0">
      <calculatedColumnFormula array="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1DA277-F536-4CFB-8829-73BAEF8442E4}" name="Table1__2" displayName="Table1__2" ref="A1:B67" tableType="queryTable" totalsRowShown="0" headerRowDxfId="22">
  <autoFilter ref="A1:B67" xr:uid="{F21DA277-F536-4CFB-8829-73BAEF8442E4}"/>
  <tableColumns count="2">
    <tableColumn id="1" xr3:uid="{22C8B252-CA70-4471-83F6-A7BBDE63602E}" uniqueName="1" name="SKU (Product code)" queryTableFieldId="1" dataDxfId="23"/>
    <tableColumn id="2" xr3:uid="{6D4A55CC-0AFD-477D-8531-6282080BA572}" uniqueName="2" name="Weight (g)" queryTableFieldId="2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62D0C9-53B5-4B0A-A406-30A143540B95}" name="Table1_1" displayName="Table1_1" ref="A1:C125" tableType="queryTable" totalsRowShown="0" headerRowDxfId="21">
  <autoFilter ref="A1:C125" xr:uid="{E962D0C9-53B5-4B0A-A406-30A143540B95}"/>
  <tableColumns count="3">
    <tableColumn id="1" xr3:uid="{787E7509-F2BD-4B3C-9631-DB89C57A89F5}" uniqueName="1" name="Warehouse Pincode" queryTableFieldId="1"/>
    <tableColumn id="2" xr3:uid="{6E6B65D4-2FA3-40BE-B983-68C46C9C6C76}" uniqueName="2" name="Customer Pincode" queryTableFieldId="2"/>
    <tableColumn id="3" xr3:uid="{5D28B7B5-D970-4A0F-8DB2-472882178ADF}" uniqueName="3" name="Zone" queryTableFieldId="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2E1818-316A-437D-AB5A-4C1DAD1AF664}" name="Table2" displayName="Table2" ref="A1:H125" tableType="queryTable" totalsRowShown="0" headerRowDxfId="20">
  <autoFilter ref="A1:H125" xr:uid="{342E1818-316A-437D-AB5A-4C1DAD1AF664}">
    <filterColumn colId="7">
      <filters>
        <filter val="90.2"/>
      </filters>
    </filterColumn>
  </autoFilter>
  <tableColumns count="8">
    <tableColumn id="1" xr3:uid="{1F748D14-F326-4102-9311-FB0BC442C9A2}" uniqueName="1" name="AWB Code" queryTableFieldId="1" dataDxfId="18"/>
    <tableColumn id="2" xr3:uid="{15C3870A-4277-42E8-B1EB-D181DD74B083}" uniqueName="2" name="Order ID" queryTableFieldId="2" dataDxfId="17"/>
    <tableColumn id="3" xr3:uid="{06D73DE1-E175-4259-97B7-197DD3FECC7B}" uniqueName="3" name="Charged Weight" queryTableFieldId="3"/>
    <tableColumn id="4" xr3:uid="{496EF0A2-8E87-4D9D-A0FE-A5A85CC08366}" uniqueName="4" name="Warehouse Pincode" queryTableFieldId="4"/>
    <tableColumn id="5" xr3:uid="{64C717B7-D9D0-4E39-A5F6-A3AFC0941234}" uniqueName="5" name="Customer Pincode" queryTableFieldId="5"/>
    <tableColumn id="6" xr3:uid="{90851B65-2FA1-454B-BCED-669D471496EE}" uniqueName="6" name="Zone" queryTableFieldId="6"/>
    <tableColumn id="7" xr3:uid="{ADC4BBC7-34FA-4E75-8911-D6CEA31178AC}" uniqueName="7" name="Type of Shipment" queryTableFieldId="7"/>
    <tableColumn id="8" xr3:uid="{CD1A7F07-DC21-496B-B6F8-4F94627AE61F}" uniqueName="8" name="Billing Amount (Rs.)" queryTableFieldId="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02485F-DE6B-4B78-B0E9-7B3641F82606}" name="Sheet1" displayName="Sheet1" ref="A1:T2" tableType="queryTable" totalsRowShown="0" headerRowDxfId="19">
  <autoFilter ref="A1:T2" xr:uid="{BE02485F-DE6B-4B78-B0E9-7B3641F82606}"/>
  <tableColumns count="20">
    <tableColumn id="1" xr3:uid="{BBB82715-1771-400D-AA82-A888BA0EA697}" uniqueName="1" name="fwd_a_fixed" queryTableFieldId="1"/>
    <tableColumn id="2" xr3:uid="{4802B5B4-1618-4CE0-A590-5521400CD222}" uniqueName="2" name="fwd_a_additional" queryTableFieldId="2"/>
    <tableColumn id="3" xr3:uid="{08B3685C-BFD5-471A-9889-8097B713FBDC}" uniqueName="3" name="fwd_b_fixed" queryTableFieldId="3"/>
    <tableColumn id="4" xr3:uid="{7154B239-29C8-4CC5-8AFE-023EBE000803}" uniqueName="4" name="fwd_b_additional" queryTableFieldId="4"/>
    <tableColumn id="5" xr3:uid="{D1A6B928-6735-44D3-8F5B-2D890EA09EE2}" uniqueName="5" name="fwd_c_fixed" queryTableFieldId="5"/>
    <tableColumn id="6" xr3:uid="{30C91203-76EE-4F49-870B-50DCA929101A}" uniqueName="6" name="fwd_c_additional" queryTableFieldId="6"/>
    <tableColumn id="7" xr3:uid="{C552ED59-4A5B-4D00-A650-308927347B3C}" uniqueName="7" name="fwd_d_fixed" queryTableFieldId="7"/>
    <tableColumn id="8" xr3:uid="{D04C0BD9-137C-4F36-A1DD-689CA389EC3C}" uniqueName="8" name="fwd_d_additional" queryTableFieldId="8"/>
    <tableColumn id="9" xr3:uid="{2E107D8C-6C1D-4E6C-B256-1AF8F0AC323B}" uniqueName="9" name="fwd_e_fixed" queryTableFieldId="9"/>
    <tableColumn id="10" xr3:uid="{F438B6F2-C265-4862-9749-1A85707365CA}" uniqueName="10" name="fwd_e_additional" queryTableFieldId="10"/>
    <tableColumn id="11" xr3:uid="{7D3B9B43-6492-4507-B1ED-1473ABE99C60}" uniqueName="11" name="rto_a_fixed" queryTableFieldId="11"/>
    <tableColumn id="12" xr3:uid="{80789B10-2FA1-4056-9D18-F38C055AC4BE}" uniqueName="12" name="rto_a_additional" queryTableFieldId="12"/>
    <tableColumn id="13" xr3:uid="{1449968B-51E3-4F8B-9643-0F9C49D88401}" uniqueName="13" name="rto_b_fixed" queryTableFieldId="13"/>
    <tableColumn id="14" xr3:uid="{97C47B21-5DCA-4DE1-8610-B9EE35E93D22}" uniqueName="14" name="rto_b_additional" queryTableFieldId="14"/>
    <tableColumn id="15" xr3:uid="{4353CA63-BBEF-4845-BEA9-DAAE73AFA1F6}" uniqueName="15" name="rto_c_fixed" queryTableFieldId="15"/>
    <tableColumn id="16" xr3:uid="{79FCEEA2-9D5F-43F3-94F2-FC0C06AB53DA}" uniqueName="16" name="rto_c_additional" queryTableFieldId="16"/>
    <tableColumn id="17" xr3:uid="{69BA51BC-D40C-40AE-9C80-F24B76A5E9D8}" uniqueName="17" name="rto_d_fixed" queryTableFieldId="17"/>
    <tableColumn id="18" xr3:uid="{53F8B70C-76DE-4727-A901-5660D8B6C53F}" uniqueName="18" name="rto_d_additional" queryTableFieldId="18"/>
    <tableColumn id="19" xr3:uid="{CF297EFB-9D76-4347-BF16-C4E931D5F497}" uniqueName="19" name="rto_e_fixed" queryTableFieldId="19"/>
    <tableColumn id="20" xr3:uid="{EFB80EDA-792F-47F0-85A5-5FD22999CC49}" uniqueName="20" name="rto_e_additional" queryTableFieldId="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74F5-E777-4E11-BA0E-E2D597EDFB3A}">
  <dimension ref="A3:E6"/>
  <sheetViews>
    <sheetView tabSelected="1" workbookViewId="0">
      <selection activeCell="J18" sqref="J18"/>
    </sheetView>
  </sheetViews>
  <sheetFormatPr defaultRowHeight="14.4" x14ac:dyDescent="0.3"/>
  <cols>
    <col min="1" max="1" width="15.6640625" bestFit="1" customWidth="1"/>
    <col min="2" max="2" width="15.44140625" bestFit="1" customWidth="1"/>
    <col min="3" max="3" width="16.21875" bestFit="1" customWidth="1"/>
    <col min="4" max="4" width="20" bestFit="1" customWidth="1"/>
    <col min="5" max="5" width="22.33203125" bestFit="1" customWidth="1"/>
    <col min="6" max="6" width="8" bestFit="1" customWidth="1"/>
    <col min="7" max="7" width="6" bestFit="1" customWidth="1"/>
    <col min="8" max="8" width="20" bestFit="1" customWidth="1"/>
    <col min="9" max="9" width="8" bestFit="1" customWidth="1"/>
    <col min="10" max="10" width="6" bestFit="1" customWidth="1"/>
    <col min="11" max="11" width="22.33203125" bestFit="1" customWidth="1"/>
    <col min="12" max="12" width="8" bestFit="1" customWidth="1"/>
    <col min="13" max="13" width="4" bestFit="1" customWidth="1"/>
    <col min="14" max="14" width="20.21875" bestFit="1" customWidth="1"/>
    <col min="15" max="15" width="21" bestFit="1" customWidth="1"/>
    <col min="16" max="16" width="24.77734375" bestFit="1" customWidth="1"/>
    <col min="17" max="17" width="27.109375" bestFit="1" customWidth="1"/>
  </cols>
  <sheetData>
    <row r="3" spans="1:5" x14ac:dyDescent="0.3">
      <c r="A3" s="7" t="s">
        <v>167</v>
      </c>
      <c r="B3" t="s">
        <v>186</v>
      </c>
      <c r="C3" t="s">
        <v>182</v>
      </c>
      <c r="D3" t="s">
        <v>181</v>
      </c>
      <c r="E3" t="s">
        <v>180</v>
      </c>
    </row>
    <row r="4" spans="1:5" x14ac:dyDescent="0.3">
      <c r="A4" s="8" t="s">
        <v>184</v>
      </c>
      <c r="B4" s="1">
        <v>41</v>
      </c>
      <c r="C4" s="1">
        <v>0</v>
      </c>
      <c r="D4" s="1">
        <v>1737.400000000001</v>
      </c>
      <c r="E4" s="1">
        <v>1737.400000000001</v>
      </c>
    </row>
    <row r="5" spans="1:5" x14ac:dyDescent="0.3">
      <c r="A5" s="8" t="s">
        <v>185</v>
      </c>
      <c r="B5" s="1">
        <v>359</v>
      </c>
      <c r="C5" s="1">
        <v>31560.799999999832</v>
      </c>
      <c r="D5" s="1">
        <v>47567.199999999932</v>
      </c>
      <c r="E5" s="1">
        <v>16006.399999999936</v>
      </c>
    </row>
    <row r="6" spans="1:5" x14ac:dyDescent="0.3">
      <c r="A6" s="8" t="s">
        <v>168</v>
      </c>
      <c r="B6" s="1">
        <v>400</v>
      </c>
      <c r="C6" s="1">
        <v>31560.799999999832</v>
      </c>
      <c r="D6" s="1">
        <v>49304.59999999994</v>
      </c>
      <c r="E6" s="1">
        <v>17743.799999999959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1"/>
  <sheetViews>
    <sheetView topLeftCell="B2" workbookViewId="0">
      <selection activeCell="K6" sqref="K6"/>
    </sheetView>
  </sheetViews>
  <sheetFormatPr defaultRowHeight="14.4" x14ac:dyDescent="0.3"/>
  <cols>
    <col min="1" max="1" width="11" style="3" hidden="1" customWidth="1"/>
    <col min="2" max="2" width="11" style="2" bestFit="1" customWidth="1"/>
    <col min="3" max="3" width="20.109375" style="3" bestFit="1" customWidth="1"/>
    <col min="4" max="4" width="11.44140625" bestFit="1" customWidth="1"/>
    <col min="5" max="5" width="16.109375" bestFit="1" customWidth="1"/>
    <col min="6" max="6" width="20.44140625" bestFit="1" customWidth="1"/>
    <col min="7" max="7" width="21.5546875" bestFit="1" customWidth="1"/>
    <col min="8" max="8" width="13" bestFit="1" customWidth="1"/>
    <col min="9" max="9" width="7.44140625" bestFit="1" customWidth="1"/>
    <col min="10" max="10" width="22.109375" bestFit="1" customWidth="1"/>
    <col min="11" max="11" width="15.33203125" bestFit="1" customWidth="1"/>
    <col min="12" max="12" width="19.77734375" bestFit="1" customWidth="1"/>
    <col min="13" max="13" width="18.88671875" bestFit="1" customWidth="1"/>
    <col min="14" max="14" width="17.88671875" bestFit="1" customWidth="1"/>
    <col min="15" max="15" width="15.6640625" bestFit="1" customWidth="1"/>
    <col min="16" max="16" width="12.33203125" customWidth="1"/>
    <col min="17" max="17" width="25.33203125" customWidth="1"/>
  </cols>
  <sheetData>
    <row r="1" spans="1:17" s="5" customFormat="1" x14ac:dyDescent="0.3">
      <c r="A1" s="4" t="s">
        <v>138</v>
      </c>
      <c r="B1" s="6" t="s">
        <v>172</v>
      </c>
      <c r="C1" s="4" t="s">
        <v>164</v>
      </c>
      <c r="D1" s="5" t="s">
        <v>129</v>
      </c>
      <c r="E1" s="5" t="s">
        <v>166</v>
      </c>
      <c r="F1" s="5" t="s">
        <v>169</v>
      </c>
      <c r="G1" s="5" t="s">
        <v>170</v>
      </c>
      <c r="H1" s="5" t="s">
        <v>171</v>
      </c>
      <c r="I1" s="5" t="s">
        <v>132</v>
      </c>
      <c r="J1" s="5" t="s">
        <v>173</v>
      </c>
      <c r="K1" s="5" t="s">
        <v>174</v>
      </c>
      <c r="L1" s="5" t="s">
        <v>175</v>
      </c>
      <c r="M1" s="5" t="s">
        <v>176</v>
      </c>
      <c r="N1" s="5" t="s">
        <v>177</v>
      </c>
      <c r="O1" s="5" t="s">
        <v>178</v>
      </c>
      <c r="P1" s="5" t="s">
        <v>179</v>
      </c>
      <c r="Q1" s="5" t="s">
        <v>183</v>
      </c>
    </row>
    <row r="2" spans="1:17" x14ac:dyDescent="0.3">
      <c r="A2" s="3" t="s">
        <v>0</v>
      </c>
      <c r="B2" s="2">
        <f>Table1[[#This Row],[Order ID]]*1</f>
        <v>2001827036</v>
      </c>
      <c r="C2" s="2">
        <v>8904223818706</v>
      </c>
      <c r="D2">
        <v>1</v>
      </c>
      <c r="E2">
        <f>_xlfn.XLOOKUP(Table1[[#This Row],[SKU (Product Code)]],'SKU Master'!A:A,'SKU Master'!B:B)</f>
        <v>127</v>
      </c>
      <c r="F2">
        <f>Table1[[#This Row],[Product weight]]*Table1[[#This Row],[Order Qty]]</f>
        <v>127</v>
      </c>
      <c r="G2">
        <f>Table1[[#This Row],[Weight per order (g)]]/1000</f>
        <v>0.127</v>
      </c>
      <c r="H2" s="1">
        <f>CEILING(Table1[[#This Row],[Weight per order (Kg)]],0.5)</f>
        <v>0.5</v>
      </c>
      <c r="I2" t="str">
        <f>_xlfn.XLOOKUP(Table1[[#This Row],[OrderID]],'Courier company invoice'!B:B,'Courier company invoice'!F:F)</f>
        <v>b</v>
      </c>
      <c r="J2" s="1" t="str">
        <f>_xlfn.XLOOKUP(Table1[[#This Row],[OrderID]],Table2[Order ID],Table2[Type of Shipment],"Not Found")</f>
        <v>Forward charges</v>
      </c>
      <c r="K2">
        <f>INDEX(Sheet1[],1,MATCH("fwd_"&amp;Table1[[#This Row],[Zone]]&amp;"_fixed",Sheet1[#Headers],0))</f>
        <v>33</v>
      </c>
      <c r="L2">
        <f>INDEX(Sheet1[],1,MATCH("fwd_"&amp;Table1[[#This Row],[Zone]]&amp;"_additional",Sheet1[#Headers],0))</f>
        <v>28.3</v>
      </c>
      <c r="M2" s="1">
        <f>(Table1[[#This Row],[Weight slab]]-0.5)/0.5</f>
        <v>0</v>
      </c>
      <c r="N2" s="1">
        <f>Table1[[#This Row],[Fixed_Charges]]+Table1[[#This Row],[No_of_Extra_slabs]]*Table1[[#This Row],[Additional_Charges]]</f>
        <v>33</v>
      </c>
      <c r="O2">
        <f>_xlfn.XLOOKUP(Table1[[#This Row],[OrderID]],'Courier company invoice'!B:B,'Courier company invoice'!H:H)</f>
        <v>117.9</v>
      </c>
      <c r="P2" s="1">
        <f>Table1[[#This Row],[Billing Amount]]-Table1[[#This Row],[Expected charges]]</f>
        <v>84.9</v>
      </c>
      <c r="Q2" s="1" t="str" cm="1">
        <f t="array" ref="Q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" spans="1:17" x14ac:dyDescent="0.3">
      <c r="A3" s="3" t="s">
        <v>0</v>
      </c>
      <c r="B3" s="2">
        <f>Table1[[#This Row],[Order ID]]*1</f>
        <v>2001827036</v>
      </c>
      <c r="C3" s="2">
        <v>8904223819093</v>
      </c>
      <c r="D3">
        <v>1</v>
      </c>
      <c r="E3">
        <f>_xlfn.XLOOKUP(Table1[[#This Row],[SKU (Product Code)]],'SKU Master'!A:A,'SKU Master'!B:B)</f>
        <v>150</v>
      </c>
      <c r="F3">
        <f>Table1[[#This Row],[Product weight]]*Table1[[#This Row],[Order Qty]]</f>
        <v>150</v>
      </c>
      <c r="G3">
        <f>Table1[[#This Row],[Weight per order (g)]]/1000</f>
        <v>0.15</v>
      </c>
      <c r="H3" s="1">
        <f>CEILING(Table1[[#This Row],[Weight per order (Kg)]],0.5)</f>
        <v>0.5</v>
      </c>
      <c r="I3" t="str">
        <f>_xlfn.XLOOKUP(Table1[[#This Row],[OrderID]],'Courier company invoice'!B:B,'Courier company invoice'!F:F)</f>
        <v>b</v>
      </c>
      <c r="J3" s="1" t="str">
        <f>_xlfn.XLOOKUP(Table1[[#This Row],[OrderID]],Table2[Order ID],Table2[Type of Shipment],"Not Found")</f>
        <v>Forward charges</v>
      </c>
      <c r="K3">
        <f>INDEX(Sheet1[],1,MATCH("fwd_"&amp;Table1[[#This Row],[Zone]]&amp;"_fixed",Sheet1[#Headers],0))</f>
        <v>33</v>
      </c>
      <c r="L3">
        <f>INDEX(Sheet1[],1,MATCH("fwd_"&amp;Table1[[#This Row],[Zone]]&amp;"_additional",Sheet1[#Headers],0))</f>
        <v>28.3</v>
      </c>
      <c r="M3" s="1">
        <f>(Table1[[#This Row],[Weight slab]]-0.5)/0.5</f>
        <v>0</v>
      </c>
      <c r="N3" s="1">
        <f>Table1[[#This Row],[Fixed_Charges]]+Table1[[#This Row],[No_of_Extra_slabs]]*Table1[[#This Row],[Additional_Charges]]</f>
        <v>33</v>
      </c>
      <c r="O3">
        <f>_xlfn.XLOOKUP(Table1[[#This Row],[OrderID]],'Courier company invoice'!B:B,'Courier company invoice'!H:H)</f>
        <v>117.9</v>
      </c>
      <c r="P3" s="1">
        <f>Table1[[#This Row],[Billing Amount]]-Table1[[#This Row],[Expected charges]]</f>
        <v>84.9</v>
      </c>
      <c r="Q3" s="1" t="str" cm="1">
        <f t="array" ref="Q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4" spans="1:17" x14ac:dyDescent="0.3">
      <c r="A4" s="3" t="s">
        <v>0</v>
      </c>
      <c r="B4" s="2">
        <f>Table1[[#This Row],[Order ID]]*1</f>
        <v>2001827036</v>
      </c>
      <c r="C4" s="2">
        <v>8904223819109</v>
      </c>
      <c r="D4">
        <v>1</v>
      </c>
      <c r="E4">
        <f>_xlfn.XLOOKUP(Table1[[#This Row],[SKU (Product Code)]],'SKU Master'!A:A,'SKU Master'!B:B)</f>
        <v>100</v>
      </c>
      <c r="F4">
        <f>Table1[[#This Row],[Product weight]]*Table1[[#This Row],[Order Qty]]</f>
        <v>100</v>
      </c>
      <c r="G4">
        <f>Table1[[#This Row],[Weight per order (g)]]/1000</f>
        <v>0.1</v>
      </c>
      <c r="H4" s="1">
        <f>CEILING(Table1[[#This Row],[Weight per order (Kg)]],0.5)</f>
        <v>0.5</v>
      </c>
      <c r="I4" t="str">
        <f>_xlfn.XLOOKUP(Table1[[#This Row],[OrderID]],'Courier company invoice'!B:B,'Courier company invoice'!F:F)</f>
        <v>b</v>
      </c>
      <c r="J4" s="1" t="str">
        <f>_xlfn.XLOOKUP(Table1[[#This Row],[OrderID]],Table2[Order ID],Table2[Type of Shipment],"Not Found")</f>
        <v>Forward charges</v>
      </c>
      <c r="K4">
        <f>INDEX(Sheet1[],1,MATCH("fwd_"&amp;Table1[[#This Row],[Zone]]&amp;"_fixed",Sheet1[#Headers],0))</f>
        <v>33</v>
      </c>
      <c r="L4">
        <f>INDEX(Sheet1[],1,MATCH("fwd_"&amp;Table1[[#This Row],[Zone]]&amp;"_additional",Sheet1[#Headers],0))</f>
        <v>28.3</v>
      </c>
      <c r="M4" s="1">
        <f>(Table1[[#This Row],[Weight slab]]-0.5)/0.5</f>
        <v>0</v>
      </c>
      <c r="N4" s="1">
        <f>Table1[[#This Row],[Fixed_Charges]]+Table1[[#This Row],[No_of_Extra_slabs]]*Table1[[#This Row],[Additional_Charges]]</f>
        <v>33</v>
      </c>
      <c r="O4">
        <f>_xlfn.XLOOKUP(Table1[[#This Row],[OrderID]],'Courier company invoice'!B:B,'Courier company invoice'!H:H)</f>
        <v>117.9</v>
      </c>
      <c r="P4" s="1">
        <f>Table1[[#This Row],[Billing Amount]]-Table1[[#This Row],[Expected charges]]</f>
        <v>84.9</v>
      </c>
      <c r="Q4" s="1" t="str" cm="1">
        <f t="array" ref="Q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5" spans="1:17" x14ac:dyDescent="0.3">
      <c r="A5" s="3" t="s">
        <v>0</v>
      </c>
      <c r="B5" s="2">
        <f>Table1[[#This Row],[Order ID]]*1</f>
        <v>2001827036</v>
      </c>
      <c r="C5" s="2">
        <v>8904223818430</v>
      </c>
      <c r="D5">
        <v>1</v>
      </c>
      <c r="E5">
        <f>_xlfn.XLOOKUP(Table1[[#This Row],[SKU (Product Code)]],'SKU Master'!A:A,'SKU Master'!B:B)</f>
        <v>165</v>
      </c>
      <c r="F5">
        <f>Table1[[#This Row],[Product weight]]*Table1[[#This Row],[Order Qty]]</f>
        <v>165</v>
      </c>
      <c r="G5">
        <f>Table1[[#This Row],[Weight per order (g)]]/1000</f>
        <v>0.16500000000000001</v>
      </c>
      <c r="H5" s="1">
        <f>CEILING(Table1[[#This Row],[Weight per order (Kg)]],0.5)</f>
        <v>0.5</v>
      </c>
      <c r="I5" t="str">
        <f>_xlfn.XLOOKUP(Table1[[#This Row],[OrderID]],'Courier company invoice'!B:B,'Courier company invoice'!F:F)</f>
        <v>b</v>
      </c>
      <c r="J5" s="1" t="str">
        <f>_xlfn.XLOOKUP(Table1[[#This Row],[OrderID]],Table2[Order ID],Table2[Type of Shipment],"Not Found")</f>
        <v>Forward charges</v>
      </c>
      <c r="K5">
        <f>INDEX(Sheet1[],1,MATCH("fwd_"&amp;Table1[[#This Row],[Zone]]&amp;"_fixed",Sheet1[#Headers],0))</f>
        <v>33</v>
      </c>
      <c r="L5">
        <f>INDEX(Sheet1[],1,MATCH("fwd_"&amp;Table1[[#This Row],[Zone]]&amp;"_additional",Sheet1[#Headers],0))</f>
        <v>28.3</v>
      </c>
      <c r="M5" s="1">
        <f>(Table1[[#This Row],[Weight slab]]-0.5)/0.5</f>
        <v>0</v>
      </c>
      <c r="N5" s="1">
        <f>Table1[[#This Row],[Fixed_Charges]]+Table1[[#This Row],[No_of_Extra_slabs]]*Table1[[#This Row],[Additional_Charges]]</f>
        <v>33</v>
      </c>
      <c r="O5">
        <f>_xlfn.XLOOKUP(Table1[[#This Row],[OrderID]],'Courier company invoice'!B:B,'Courier company invoice'!H:H)</f>
        <v>117.9</v>
      </c>
      <c r="P5" s="1">
        <f>Table1[[#This Row],[Billing Amount]]-Table1[[#This Row],[Expected charges]]</f>
        <v>84.9</v>
      </c>
      <c r="Q5" s="1" t="str" cm="1">
        <f t="array" ref="Q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6" spans="1:17" x14ac:dyDescent="0.3">
      <c r="A6" s="3" t="s">
        <v>0</v>
      </c>
      <c r="B6" s="2">
        <f>Table1[[#This Row],[Order ID]]*1</f>
        <v>2001827036</v>
      </c>
      <c r="C6" s="2">
        <v>8904223819277</v>
      </c>
      <c r="D6">
        <v>1</v>
      </c>
      <c r="E6">
        <f>_xlfn.XLOOKUP(Table1[[#This Row],[SKU (Product Code)]],'SKU Master'!A:A,'SKU Master'!B:B)</f>
        <v>350</v>
      </c>
      <c r="F6">
        <f>Table1[[#This Row],[Product weight]]*Table1[[#This Row],[Order Qty]]</f>
        <v>350</v>
      </c>
      <c r="G6">
        <f>Table1[[#This Row],[Weight per order (g)]]/1000</f>
        <v>0.35</v>
      </c>
      <c r="H6" s="1">
        <f>CEILING(Table1[[#This Row],[Weight per order (Kg)]],0.5)</f>
        <v>0.5</v>
      </c>
      <c r="I6" t="str">
        <f>_xlfn.XLOOKUP(Table1[[#This Row],[OrderID]],'Courier company invoice'!B:B,'Courier company invoice'!F:F)</f>
        <v>b</v>
      </c>
      <c r="J6" s="1" t="str">
        <f>_xlfn.XLOOKUP(Table1[[#This Row],[OrderID]],Table2[Order ID],Table2[Type of Shipment],"Not Found")</f>
        <v>Forward charges</v>
      </c>
      <c r="K6">
        <f>INDEX(Sheet1[],1,MATCH("fwd_"&amp;Table1[[#This Row],[Zone]]&amp;"_fixed",Sheet1[#Headers],0))</f>
        <v>33</v>
      </c>
      <c r="L6">
        <f>INDEX(Sheet1[],1,MATCH("fwd_"&amp;Table1[[#This Row],[Zone]]&amp;"_additional",Sheet1[#Headers],0))</f>
        <v>28.3</v>
      </c>
      <c r="M6" s="1">
        <f>(Table1[[#This Row],[Weight slab]]-0.5)/0.5</f>
        <v>0</v>
      </c>
      <c r="N6" s="1">
        <f>Table1[[#This Row],[Fixed_Charges]]+Table1[[#This Row],[No_of_Extra_slabs]]*Table1[[#This Row],[Additional_Charges]]</f>
        <v>33</v>
      </c>
      <c r="O6">
        <f>_xlfn.XLOOKUP(Table1[[#This Row],[OrderID]],'Courier company invoice'!B:B,'Courier company invoice'!H:H)</f>
        <v>117.9</v>
      </c>
      <c r="P6" s="1">
        <f>Table1[[#This Row],[Billing Amount]]-Table1[[#This Row],[Expected charges]]</f>
        <v>84.9</v>
      </c>
      <c r="Q6" s="1" t="str" cm="1">
        <f t="array" ref="Q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7" spans="1:17" x14ac:dyDescent="0.3">
      <c r="A7" s="3" t="s">
        <v>0</v>
      </c>
      <c r="B7" s="2">
        <f>Table1[[#This Row],[Order ID]]*1</f>
        <v>2001827036</v>
      </c>
      <c r="C7" s="2" t="s">
        <v>1</v>
      </c>
      <c r="D7">
        <v>1</v>
      </c>
      <c r="E7">
        <f>_xlfn.XLOOKUP(Table1[[#This Row],[SKU (Product Code)]],'SKU Master'!A:A,'SKU Master'!B:B)</f>
        <v>500</v>
      </c>
      <c r="F7">
        <f>Table1[[#This Row],[Product weight]]*Table1[[#This Row],[Order Qty]]</f>
        <v>500</v>
      </c>
      <c r="G7">
        <f>Table1[[#This Row],[Weight per order (g)]]/1000</f>
        <v>0.5</v>
      </c>
      <c r="H7" s="1">
        <f>CEILING(Table1[[#This Row],[Weight per order (Kg)]],0.5)</f>
        <v>0.5</v>
      </c>
      <c r="I7" t="str">
        <f>_xlfn.XLOOKUP(Table1[[#This Row],[OrderID]],'Courier company invoice'!B:B,'Courier company invoice'!F:F)</f>
        <v>b</v>
      </c>
      <c r="J7" s="1" t="str">
        <f>_xlfn.XLOOKUP(Table1[[#This Row],[OrderID]],Table2[Order ID],Table2[Type of Shipment],"Not Found")</f>
        <v>Forward charges</v>
      </c>
      <c r="K7">
        <f>INDEX(Sheet1[],1,MATCH("fwd_"&amp;Table1[[#This Row],[Zone]]&amp;"_fixed",Sheet1[#Headers],0))</f>
        <v>33</v>
      </c>
      <c r="L7">
        <f>INDEX(Sheet1[],1,MATCH("fwd_"&amp;Table1[[#This Row],[Zone]]&amp;"_additional",Sheet1[#Headers],0))</f>
        <v>28.3</v>
      </c>
      <c r="M7" s="1">
        <f>(Table1[[#This Row],[Weight slab]]-0.5)/0.5</f>
        <v>0</v>
      </c>
      <c r="N7" s="1">
        <f>Table1[[#This Row],[Fixed_Charges]]+Table1[[#This Row],[No_of_Extra_slabs]]*Table1[[#This Row],[Additional_Charges]]</f>
        <v>33</v>
      </c>
      <c r="O7">
        <f>_xlfn.XLOOKUP(Table1[[#This Row],[OrderID]],'Courier company invoice'!B:B,'Courier company invoice'!H:H)</f>
        <v>117.9</v>
      </c>
      <c r="P7" s="1">
        <f>Table1[[#This Row],[Billing Amount]]-Table1[[#This Row],[Expected charges]]</f>
        <v>84.9</v>
      </c>
      <c r="Q7" s="1" t="str" cm="1">
        <f t="array" ref="Q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8" spans="1:17" x14ac:dyDescent="0.3">
      <c r="A8" s="3" t="s">
        <v>0</v>
      </c>
      <c r="B8" s="2">
        <f>Table1[[#This Row],[Order ID]]*1</f>
        <v>2001827036</v>
      </c>
      <c r="C8" s="2">
        <v>8904223818638</v>
      </c>
      <c r="D8">
        <v>2</v>
      </c>
      <c r="E8">
        <f>_xlfn.XLOOKUP(Table1[[#This Row],[SKU (Product Code)]],'SKU Master'!A:A,'SKU Master'!B:B)</f>
        <v>137</v>
      </c>
      <c r="F8">
        <f>Table1[[#This Row],[Product weight]]*Table1[[#This Row],[Order Qty]]</f>
        <v>274</v>
      </c>
      <c r="G8">
        <f>Table1[[#This Row],[Weight per order (g)]]/1000</f>
        <v>0.27400000000000002</v>
      </c>
      <c r="H8" s="1">
        <f>CEILING(Table1[[#This Row],[Weight per order (Kg)]],0.5)</f>
        <v>0.5</v>
      </c>
      <c r="I8" t="str">
        <f>_xlfn.XLOOKUP(Table1[[#This Row],[OrderID]],'Courier company invoice'!B:B,'Courier company invoice'!F:F)</f>
        <v>b</v>
      </c>
      <c r="J8" s="1" t="str">
        <f>_xlfn.XLOOKUP(Table1[[#This Row],[OrderID]],Table2[Order ID],Table2[Type of Shipment],"Not Found")</f>
        <v>Forward charges</v>
      </c>
      <c r="K8">
        <f>INDEX(Sheet1[],1,MATCH("fwd_"&amp;Table1[[#This Row],[Zone]]&amp;"_fixed",Sheet1[#Headers],0))</f>
        <v>33</v>
      </c>
      <c r="L8">
        <f>INDEX(Sheet1[],1,MATCH("fwd_"&amp;Table1[[#This Row],[Zone]]&amp;"_additional",Sheet1[#Headers],0))</f>
        <v>28.3</v>
      </c>
      <c r="M8" s="1">
        <f>(Table1[[#This Row],[Weight slab]]-0.5)/0.5</f>
        <v>0</v>
      </c>
      <c r="N8" s="1">
        <f>Table1[[#This Row],[Fixed_Charges]]+Table1[[#This Row],[No_of_Extra_slabs]]*Table1[[#This Row],[Additional_Charges]]</f>
        <v>33</v>
      </c>
      <c r="O8">
        <f>_xlfn.XLOOKUP(Table1[[#This Row],[OrderID]],'Courier company invoice'!B:B,'Courier company invoice'!H:H)</f>
        <v>117.9</v>
      </c>
      <c r="P8" s="1">
        <f>Table1[[#This Row],[Billing Amount]]-Table1[[#This Row],[Expected charges]]</f>
        <v>84.9</v>
      </c>
      <c r="Q8" s="1" t="str" cm="1">
        <f t="array" ref="Q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9" spans="1:17" x14ac:dyDescent="0.3">
      <c r="A9" s="3" t="s">
        <v>0</v>
      </c>
      <c r="B9" s="2">
        <f>Table1[[#This Row],[Order ID]]*1</f>
        <v>2001827036</v>
      </c>
      <c r="C9" s="2" t="s">
        <v>2</v>
      </c>
      <c r="D9">
        <v>1</v>
      </c>
      <c r="E9">
        <f>_xlfn.XLOOKUP(Table1[[#This Row],[SKU (Product Code)]],'SKU Master'!A:A,'SKU Master'!B:B)</f>
        <v>10</v>
      </c>
      <c r="F9">
        <f>Table1[[#This Row],[Product weight]]*Table1[[#This Row],[Order Qty]]</f>
        <v>10</v>
      </c>
      <c r="G9">
        <f>Table1[[#This Row],[Weight per order (g)]]/1000</f>
        <v>0.01</v>
      </c>
      <c r="H9" s="1">
        <f>CEILING(Table1[[#This Row],[Weight per order (Kg)]],0.5)</f>
        <v>0.5</v>
      </c>
      <c r="I9" t="str">
        <f>_xlfn.XLOOKUP(Table1[[#This Row],[OrderID]],'Courier company invoice'!B:B,'Courier company invoice'!F:F)</f>
        <v>b</v>
      </c>
      <c r="J9" s="1" t="str">
        <f>_xlfn.XLOOKUP(Table1[[#This Row],[OrderID]],Table2[Order ID],Table2[Type of Shipment],"Not Found")</f>
        <v>Forward charges</v>
      </c>
      <c r="K9">
        <f>INDEX(Sheet1[],1,MATCH("fwd_"&amp;Table1[[#This Row],[Zone]]&amp;"_fixed",Sheet1[#Headers],0))</f>
        <v>33</v>
      </c>
      <c r="L9">
        <f>INDEX(Sheet1[],1,MATCH("fwd_"&amp;Table1[[#This Row],[Zone]]&amp;"_additional",Sheet1[#Headers],0))</f>
        <v>28.3</v>
      </c>
      <c r="M9" s="1">
        <f>(Table1[[#This Row],[Weight slab]]-0.5)/0.5</f>
        <v>0</v>
      </c>
      <c r="N9" s="1">
        <f>Table1[[#This Row],[Fixed_Charges]]+Table1[[#This Row],[No_of_Extra_slabs]]*Table1[[#This Row],[Additional_Charges]]</f>
        <v>33</v>
      </c>
      <c r="O9">
        <f>_xlfn.XLOOKUP(Table1[[#This Row],[OrderID]],'Courier company invoice'!B:B,'Courier company invoice'!H:H)</f>
        <v>117.9</v>
      </c>
      <c r="P9" s="1">
        <f>Table1[[#This Row],[Billing Amount]]-Table1[[#This Row],[Expected charges]]</f>
        <v>84.9</v>
      </c>
      <c r="Q9" s="1" t="str" cm="1">
        <f t="array" ref="Q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0" spans="1:17" x14ac:dyDescent="0.3">
      <c r="A10" s="3" t="s">
        <v>3</v>
      </c>
      <c r="B10" s="2">
        <f>Table1[[#This Row],[Order ID]]*1</f>
        <v>2001825261</v>
      </c>
      <c r="C10" s="2">
        <v>8904223819024</v>
      </c>
      <c r="D10">
        <v>4</v>
      </c>
      <c r="E10">
        <f>_xlfn.XLOOKUP(Table1[[#This Row],[SKU (Product Code)]],'SKU Master'!A:A,'SKU Master'!B:B)</f>
        <v>112</v>
      </c>
      <c r="F10">
        <f>Table1[[#This Row],[Product weight]]*Table1[[#This Row],[Order Qty]]</f>
        <v>448</v>
      </c>
      <c r="G10">
        <f>Table1[[#This Row],[Weight per order (g)]]/1000</f>
        <v>0.44800000000000001</v>
      </c>
      <c r="H10" s="1">
        <f>CEILING(Table1[[#This Row],[Weight per order (Kg)]],0.5)</f>
        <v>0.5</v>
      </c>
      <c r="I10" t="str">
        <f>_xlfn.XLOOKUP(Table1[[#This Row],[OrderID]],'Courier company invoice'!B:B,'Courier company invoice'!F:F)</f>
        <v>d</v>
      </c>
      <c r="J10" s="1" t="str">
        <f>_xlfn.XLOOKUP(Table1[[#This Row],[OrderID]],Table2[Order ID],Table2[Type of Shipment],"Not Found")</f>
        <v>Forward and RTO charges</v>
      </c>
      <c r="K10">
        <f>INDEX(Sheet1[],1,MATCH("fwd_"&amp;Table1[[#This Row],[Zone]]&amp;"_fixed",Sheet1[#Headers],0))</f>
        <v>45.4</v>
      </c>
      <c r="L10">
        <f>INDEX(Sheet1[],1,MATCH("fwd_"&amp;Table1[[#This Row],[Zone]]&amp;"_additional",Sheet1[#Headers],0))</f>
        <v>44.8</v>
      </c>
      <c r="M10" s="1">
        <f>(Table1[[#This Row],[Weight slab]]-0.5)/0.5</f>
        <v>0</v>
      </c>
      <c r="N10" s="1">
        <f>Table1[[#This Row],[Fixed_Charges]]+Table1[[#This Row],[No_of_Extra_slabs]]*Table1[[#This Row],[Additional_Charges]]</f>
        <v>45.4</v>
      </c>
      <c r="O10">
        <f>_xlfn.XLOOKUP(Table1[[#This Row],[OrderID]],'Courier company invoice'!B:B,'Courier company invoice'!H:H)</f>
        <v>345</v>
      </c>
      <c r="P10" s="1">
        <f>Table1[[#This Row],[Billing Amount]]-Table1[[#This Row],[Expected charges]]</f>
        <v>299.60000000000002</v>
      </c>
      <c r="Q10" s="1" t="str" cm="1">
        <f t="array" ref="Q1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1" spans="1:17" x14ac:dyDescent="0.3">
      <c r="A11" s="3" t="s">
        <v>3</v>
      </c>
      <c r="B11" s="2">
        <f>Table1[[#This Row],[Order ID]]*1</f>
        <v>2001825261</v>
      </c>
      <c r="C11" s="2">
        <v>8904223819291</v>
      </c>
      <c r="D11">
        <v>4</v>
      </c>
      <c r="E11">
        <f>_xlfn.XLOOKUP(Table1[[#This Row],[SKU (Product Code)]],'SKU Master'!A:A,'SKU Master'!B:B)</f>
        <v>112</v>
      </c>
      <c r="F11">
        <f>Table1[[#This Row],[Product weight]]*Table1[[#This Row],[Order Qty]]</f>
        <v>448</v>
      </c>
      <c r="G11">
        <f>Table1[[#This Row],[Weight per order (g)]]/1000</f>
        <v>0.44800000000000001</v>
      </c>
      <c r="H11" s="1">
        <f>CEILING(Table1[[#This Row],[Weight per order (Kg)]],0.5)</f>
        <v>0.5</v>
      </c>
      <c r="I11" t="str">
        <f>_xlfn.XLOOKUP(Table1[[#This Row],[OrderID]],'Courier company invoice'!B:B,'Courier company invoice'!F:F)</f>
        <v>d</v>
      </c>
      <c r="J11" s="1" t="str">
        <f>_xlfn.XLOOKUP(Table1[[#This Row],[OrderID]],Table2[Order ID],Table2[Type of Shipment],"Not Found")</f>
        <v>Forward and RTO charges</v>
      </c>
      <c r="K11">
        <f>INDEX(Sheet1[],1,MATCH("fwd_"&amp;Table1[[#This Row],[Zone]]&amp;"_fixed",Sheet1[#Headers],0))</f>
        <v>45.4</v>
      </c>
      <c r="L11">
        <f>INDEX(Sheet1[],1,MATCH("fwd_"&amp;Table1[[#This Row],[Zone]]&amp;"_additional",Sheet1[#Headers],0))</f>
        <v>44.8</v>
      </c>
      <c r="M11" s="1">
        <f>(Table1[[#This Row],[Weight slab]]-0.5)/0.5</f>
        <v>0</v>
      </c>
      <c r="N11" s="1">
        <f>Table1[[#This Row],[Fixed_Charges]]+Table1[[#This Row],[No_of_Extra_slabs]]*Table1[[#This Row],[Additional_Charges]]</f>
        <v>45.4</v>
      </c>
      <c r="O11">
        <f>_xlfn.XLOOKUP(Table1[[#This Row],[OrderID]],'Courier company invoice'!B:B,'Courier company invoice'!H:H)</f>
        <v>345</v>
      </c>
      <c r="P11" s="1">
        <f>Table1[[#This Row],[Billing Amount]]-Table1[[#This Row],[Expected charges]]</f>
        <v>299.60000000000002</v>
      </c>
      <c r="Q11" s="1" t="str" cm="1">
        <f t="array" ref="Q1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2" spans="1:17" x14ac:dyDescent="0.3">
      <c r="A12" s="3" t="s">
        <v>3</v>
      </c>
      <c r="B12" s="2">
        <f>Table1[[#This Row],[Order ID]]*1</f>
        <v>2001825261</v>
      </c>
      <c r="C12" s="2">
        <v>8904223818638</v>
      </c>
      <c r="D12">
        <v>3</v>
      </c>
      <c r="E12">
        <f>_xlfn.XLOOKUP(Table1[[#This Row],[SKU (Product Code)]],'SKU Master'!A:A,'SKU Master'!B:B)</f>
        <v>137</v>
      </c>
      <c r="F12">
        <f>Table1[[#This Row],[Product weight]]*Table1[[#This Row],[Order Qty]]</f>
        <v>411</v>
      </c>
      <c r="G12">
        <f>Table1[[#This Row],[Weight per order (g)]]/1000</f>
        <v>0.41099999999999998</v>
      </c>
      <c r="H12" s="1">
        <f>CEILING(Table1[[#This Row],[Weight per order (Kg)]],0.5)</f>
        <v>0.5</v>
      </c>
      <c r="I12" t="str">
        <f>_xlfn.XLOOKUP(Table1[[#This Row],[OrderID]],'Courier company invoice'!B:B,'Courier company invoice'!F:F)</f>
        <v>d</v>
      </c>
      <c r="J12" s="1" t="str">
        <f>_xlfn.XLOOKUP(Table1[[#This Row],[OrderID]],Table2[Order ID],Table2[Type of Shipment],"Not Found")</f>
        <v>Forward and RTO charges</v>
      </c>
      <c r="K12">
        <f>INDEX(Sheet1[],1,MATCH("fwd_"&amp;Table1[[#This Row],[Zone]]&amp;"_fixed",Sheet1[#Headers],0))</f>
        <v>45.4</v>
      </c>
      <c r="L12">
        <f>INDEX(Sheet1[],1,MATCH("fwd_"&amp;Table1[[#This Row],[Zone]]&amp;"_additional",Sheet1[#Headers],0))</f>
        <v>44.8</v>
      </c>
      <c r="M12" s="1">
        <f>(Table1[[#This Row],[Weight slab]]-0.5)/0.5</f>
        <v>0</v>
      </c>
      <c r="N12" s="1">
        <f>Table1[[#This Row],[Fixed_Charges]]+Table1[[#This Row],[No_of_Extra_slabs]]*Table1[[#This Row],[Additional_Charges]]</f>
        <v>45.4</v>
      </c>
      <c r="O12">
        <f>_xlfn.XLOOKUP(Table1[[#This Row],[OrderID]],'Courier company invoice'!B:B,'Courier company invoice'!H:H)</f>
        <v>345</v>
      </c>
      <c r="P12" s="1">
        <f>Table1[[#This Row],[Billing Amount]]-Table1[[#This Row],[Expected charges]]</f>
        <v>299.60000000000002</v>
      </c>
      <c r="Q12" s="1" t="str" cm="1">
        <f t="array" ref="Q1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3" spans="1:17" x14ac:dyDescent="0.3">
      <c r="A13" s="3" t="s">
        <v>3</v>
      </c>
      <c r="B13" s="2">
        <f>Table1[[#This Row],[Order ID]]*1</f>
        <v>2001825261</v>
      </c>
      <c r="C13" s="2">
        <v>8904223818669</v>
      </c>
      <c r="D13">
        <v>1</v>
      </c>
      <c r="E13">
        <f>_xlfn.XLOOKUP(Table1[[#This Row],[SKU (Product Code)]],'SKU Master'!A:A,'SKU Master'!B:B)</f>
        <v>240</v>
      </c>
      <c r="F13">
        <f>Table1[[#This Row],[Product weight]]*Table1[[#This Row],[Order Qty]]</f>
        <v>240</v>
      </c>
      <c r="G13">
        <f>Table1[[#This Row],[Weight per order (g)]]/1000</f>
        <v>0.24</v>
      </c>
      <c r="H13" s="1">
        <f>CEILING(Table1[[#This Row],[Weight per order (Kg)]],0.5)</f>
        <v>0.5</v>
      </c>
      <c r="I13" t="str">
        <f>_xlfn.XLOOKUP(Table1[[#This Row],[OrderID]],'Courier company invoice'!B:B,'Courier company invoice'!F:F)</f>
        <v>d</v>
      </c>
      <c r="J13" s="1" t="str">
        <f>_xlfn.XLOOKUP(Table1[[#This Row],[OrderID]],Table2[Order ID],Table2[Type of Shipment],"Not Found")</f>
        <v>Forward and RTO charges</v>
      </c>
      <c r="K13">
        <f>INDEX(Sheet1[],1,MATCH("fwd_"&amp;Table1[[#This Row],[Zone]]&amp;"_fixed",Sheet1[#Headers],0))</f>
        <v>45.4</v>
      </c>
      <c r="L13">
        <f>INDEX(Sheet1[],1,MATCH("fwd_"&amp;Table1[[#This Row],[Zone]]&amp;"_additional",Sheet1[#Headers],0))</f>
        <v>44.8</v>
      </c>
      <c r="M13" s="1">
        <f>(Table1[[#This Row],[Weight slab]]-0.5)/0.5</f>
        <v>0</v>
      </c>
      <c r="N13" s="1">
        <f>Table1[[#This Row],[Fixed_Charges]]+Table1[[#This Row],[No_of_Extra_slabs]]*Table1[[#This Row],[Additional_Charges]]</f>
        <v>45.4</v>
      </c>
      <c r="O13">
        <f>_xlfn.XLOOKUP(Table1[[#This Row],[OrderID]],'Courier company invoice'!B:B,'Courier company invoice'!H:H)</f>
        <v>345</v>
      </c>
      <c r="P13" s="1">
        <f>Table1[[#This Row],[Billing Amount]]-Table1[[#This Row],[Expected charges]]</f>
        <v>299.60000000000002</v>
      </c>
      <c r="Q13" s="1" t="str" cm="1">
        <f t="array" ref="Q1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4" spans="1:17" x14ac:dyDescent="0.3">
      <c r="A14" s="3" t="s">
        <v>3</v>
      </c>
      <c r="B14" s="2">
        <f>Table1[[#This Row],[Order ID]]*1</f>
        <v>2001825261</v>
      </c>
      <c r="C14" s="2" t="s">
        <v>2</v>
      </c>
      <c r="D14">
        <v>1</v>
      </c>
      <c r="E14">
        <f>_xlfn.XLOOKUP(Table1[[#This Row],[SKU (Product Code)]],'SKU Master'!A:A,'SKU Master'!B:B)</f>
        <v>10</v>
      </c>
      <c r="F14">
        <f>Table1[[#This Row],[Product weight]]*Table1[[#This Row],[Order Qty]]</f>
        <v>10</v>
      </c>
      <c r="G14">
        <f>Table1[[#This Row],[Weight per order (g)]]/1000</f>
        <v>0.01</v>
      </c>
      <c r="H14" s="1">
        <f>CEILING(Table1[[#This Row],[Weight per order (Kg)]],0.5)</f>
        <v>0.5</v>
      </c>
      <c r="I14" t="str">
        <f>_xlfn.XLOOKUP(Table1[[#This Row],[OrderID]],'Courier company invoice'!B:B,'Courier company invoice'!F:F)</f>
        <v>d</v>
      </c>
      <c r="J14" s="1" t="str">
        <f>_xlfn.XLOOKUP(Table1[[#This Row],[OrderID]],Table2[Order ID],Table2[Type of Shipment],"Not Found")</f>
        <v>Forward and RTO charges</v>
      </c>
      <c r="K14">
        <f>INDEX(Sheet1[],1,MATCH("fwd_"&amp;Table1[[#This Row],[Zone]]&amp;"_fixed",Sheet1[#Headers],0))</f>
        <v>45.4</v>
      </c>
      <c r="L14">
        <f>INDEX(Sheet1[],1,MATCH("fwd_"&amp;Table1[[#This Row],[Zone]]&amp;"_additional",Sheet1[#Headers],0))</f>
        <v>44.8</v>
      </c>
      <c r="M14" s="1">
        <f>(Table1[[#This Row],[Weight slab]]-0.5)/0.5</f>
        <v>0</v>
      </c>
      <c r="N14" s="1">
        <f>Table1[[#This Row],[Fixed_Charges]]+Table1[[#This Row],[No_of_Extra_slabs]]*Table1[[#This Row],[Additional_Charges]]</f>
        <v>45.4</v>
      </c>
      <c r="O14">
        <f>_xlfn.XLOOKUP(Table1[[#This Row],[OrderID]],'Courier company invoice'!B:B,'Courier company invoice'!H:H)</f>
        <v>345</v>
      </c>
      <c r="P14" s="1">
        <f>Table1[[#This Row],[Billing Amount]]-Table1[[#This Row],[Expected charges]]</f>
        <v>299.60000000000002</v>
      </c>
      <c r="Q14" s="1" t="str" cm="1">
        <f t="array" ref="Q1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5" spans="1:17" x14ac:dyDescent="0.3">
      <c r="A15" s="3" t="s">
        <v>4</v>
      </c>
      <c r="B15" s="2">
        <f>Table1[[#This Row],[Order ID]]*1</f>
        <v>2001823564</v>
      </c>
      <c r="C15" s="2">
        <v>8904223819291</v>
      </c>
      <c r="D15">
        <v>2</v>
      </c>
      <c r="E15">
        <f>_xlfn.XLOOKUP(Table1[[#This Row],[SKU (Product Code)]],'SKU Master'!A:A,'SKU Master'!B:B)</f>
        <v>112</v>
      </c>
      <c r="F15">
        <f>Table1[[#This Row],[Product weight]]*Table1[[#This Row],[Order Qty]]</f>
        <v>224</v>
      </c>
      <c r="G15">
        <f>Table1[[#This Row],[Weight per order (g)]]/1000</f>
        <v>0.224</v>
      </c>
      <c r="H15" s="1">
        <f>CEILING(Table1[[#This Row],[Weight per order (Kg)]],0.5)</f>
        <v>0.5</v>
      </c>
      <c r="I15" t="str">
        <f>_xlfn.XLOOKUP(Table1[[#This Row],[OrderID]],'Courier company invoice'!B:B,'Courier company invoice'!F:F)</f>
        <v>d</v>
      </c>
      <c r="J15" s="1" t="str">
        <f>_xlfn.XLOOKUP(Table1[[#This Row],[OrderID]],Table2[Order ID],Table2[Type of Shipment],"Not Found")</f>
        <v>Forward and RTO charges</v>
      </c>
      <c r="K15">
        <f>INDEX(Sheet1[],1,MATCH("fwd_"&amp;Table1[[#This Row],[Zone]]&amp;"_fixed",Sheet1[#Headers],0))</f>
        <v>45.4</v>
      </c>
      <c r="L15">
        <f>INDEX(Sheet1[],1,MATCH("fwd_"&amp;Table1[[#This Row],[Zone]]&amp;"_additional",Sheet1[#Headers],0))</f>
        <v>44.8</v>
      </c>
      <c r="M15" s="1">
        <f>(Table1[[#This Row],[Weight slab]]-0.5)/0.5</f>
        <v>0</v>
      </c>
      <c r="N15" s="1">
        <f>Table1[[#This Row],[Fixed_Charges]]+Table1[[#This Row],[No_of_Extra_slabs]]*Table1[[#This Row],[Additional_Charges]]</f>
        <v>45.4</v>
      </c>
      <c r="O15">
        <f>_xlfn.XLOOKUP(Table1[[#This Row],[OrderID]],'Courier company invoice'!B:B,'Courier company invoice'!H:H)</f>
        <v>172.8</v>
      </c>
      <c r="P15" s="1">
        <f>Table1[[#This Row],[Billing Amount]]-Table1[[#This Row],[Expected charges]]</f>
        <v>127.4</v>
      </c>
      <c r="Q15" s="1" t="str" cm="1">
        <f t="array" ref="Q1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6" spans="1:17" x14ac:dyDescent="0.3">
      <c r="A16" s="3" t="s">
        <v>4</v>
      </c>
      <c r="B16" s="2">
        <f>Table1[[#This Row],[Order ID]]*1</f>
        <v>2001823564</v>
      </c>
      <c r="C16" s="2">
        <v>8904223819031</v>
      </c>
      <c r="D16">
        <v>2</v>
      </c>
      <c r="E16">
        <f>_xlfn.XLOOKUP(Table1[[#This Row],[SKU (Product Code)]],'SKU Master'!A:A,'SKU Master'!B:B)</f>
        <v>112</v>
      </c>
      <c r="F16">
        <f>Table1[[#This Row],[Product weight]]*Table1[[#This Row],[Order Qty]]</f>
        <v>224</v>
      </c>
      <c r="G16">
        <f>Table1[[#This Row],[Weight per order (g)]]/1000</f>
        <v>0.224</v>
      </c>
      <c r="H16" s="1">
        <f>CEILING(Table1[[#This Row],[Weight per order (Kg)]],0.5)</f>
        <v>0.5</v>
      </c>
      <c r="I16" t="str">
        <f>_xlfn.XLOOKUP(Table1[[#This Row],[OrderID]],'Courier company invoice'!B:B,'Courier company invoice'!F:F)</f>
        <v>d</v>
      </c>
      <c r="J16" s="1" t="str">
        <f>_xlfn.XLOOKUP(Table1[[#This Row],[OrderID]],Table2[Order ID],Table2[Type of Shipment],"Not Found")</f>
        <v>Forward and RTO charges</v>
      </c>
      <c r="K16">
        <f>INDEX(Sheet1[],1,MATCH("fwd_"&amp;Table1[[#This Row],[Zone]]&amp;"_fixed",Sheet1[#Headers],0))</f>
        <v>45.4</v>
      </c>
      <c r="L16">
        <f>INDEX(Sheet1[],1,MATCH("fwd_"&amp;Table1[[#This Row],[Zone]]&amp;"_additional",Sheet1[#Headers],0))</f>
        <v>44.8</v>
      </c>
      <c r="M16" s="1">
        <f>(Table1[[#This Row],[Weight slab]]-0.5)/0.5</f>
        <v>0</v>
      </c>
      <c r="N16" s="1">
        <f>Table1[[#This Row],[Fixed_Charges]]+Table1[[#This Row],[No_of_Extra_slabs]]*Table1[[#This Row],[Additional_Charges]]</f>
        <v>45.4</v>
      </c>
      <c r="O16">
        <f>_xlfn.XLOOKUP(Table1[[#This Row],[OrderID]],'Courier company invoice'!B:B,'Courier company invoice'!H:H)</f>
        <v>172.8</v>
      </c>
      <c r="P16" s="1">
        <f>Table1[[#This Row],[Billing Amount]]-Table1[[#This Row],[Expected charges]]</f>
        <v>127.4</v>
      </c>
      <c r="Q16" s="1" t="str" cm="1">
        <f t="array" ref="Q1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7" spans="1:17" x14ac:dyDescent="0.3">
      <c r="A17" s="3" t="s">
        <v>4</v>
      </c>
      <c r="B17" s="2">
        <f>Table1[[#This Row],[Order ID]]*1</f>
        <v>2001823564</v>
      </c>
      <c r="C17" s="2">
        <v>8904223819024</v>
      </c>
      <c r="D17">
        <v>2</v>
      </c>
      <c r="E17">
        <f>_xlfn.XLOOKUP(Table1[[#This Row],[SKU (Product Code)]],'SKU Master'!A:A,'SKU Master'!B:B)</f>
        <v>112</v>
      </c>
      <c r="F17">
        <f>Table1[[#This Row],[Product weight]]*Table1[[#This Row],[Order Qty]]</f>
        <v>224</v>
      </c>
      <c r="G17">
        <f>Table1[[#This Row],[Weight per order (g)]]/1000</f>
        <v>0.224</v>
      </c>
      <c r="H17" s="1">
        <f>CEILING(Table1[[#This Row],[Weight per order (Kg)]],0.5)</f>
        <v>0.5</v>
      </c>
      <c r="I17" t="str">
        <f>_xlfn.XLOOKUP(Table1[[#This Row],[OrderID]],'Courier company invoice'!B:B,'Courier company invoice'!F:F)</f>
        <v>d</v>
      </c>
      <c r="J17" s="1" t="str">
        <f>_xlfn.XLOOKUP(Table1[[#This Row],[OrderID]],Table2[Order ID],Table2[Type of Shipment],"Not Found")</f>
        <v>Forward and RTO charges</v>
      </c>
      <c r="K17">
        <f>INDEX(Sheet1[],1,MATCH("fwd_"&amp;Table1[[#This Row],[Zone]]&amp;"_fixed",Sheet1[#Headers],0))</f>
        <v>45.4</v>
      </c>
      <c r="L17">
        <f>INDEX(Sheet1[],1,MATCH("fwd_"&amp;Table1[[#This Row],[Zone]]&amp;"_additional",Sheet1[#Headers],0))</f>
        <v>44.8</v>
      </c>
      <c r="M17" s="1">
        <f>(Table1[[#This Row],[Weight slab]]-0.5)/0.5</f>
        <v>0</v>
      </c>
      <c r="N17" s="1">
        <f>Table1[[#This Row],[Fixed_Charges]]+Table1[[#This Row],[No_of_Extra_slabs]]*Table1[[#This Row],[Additional_Charges]]</f>
        <v>45.4</v>
      </c>
      <c r="O17">
        <f>_xlfn.XLOOKUP(Table1[[#This Row],[OrderID]],'Courier company invoice'!B:B,'Courier company invoice'!H:H)</f>
        <v>172.8</v>
      </c>
      <c r="P17" s="1">
        <f>Table1[[#This Row],[Billing Amount]]-Table1[[#This Row],[Expected charges]]</f>
        <v>127.4</v>
      </c>
      <c r="Q17" s="1" t="str" cm="1">
        <f t="array" ref="Q1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8" spans="1:17" x14ac:dyDescent="0.3">
      <c r="A18" s="3" t="s">
        <v>5</v>
      </c>
      <c r="B18" s="2">
        <f>Table1[[#This Row],[Order ID]]*1</f>
        <v>2001822466</v>
      </c>
      <c r="C18" s="2">
        <v>8904223819468</v>
      </c>
      <c r="D18">
        <v>2</v>
      </c>
      <c r="E18">
        <f>_xlfn.XLOOKUP(Table1[[#This Row],[SKU (Product Code)]],'SKU Master'!A:A,'SKU Master'!B:B)</f>
        <v>240</v>
      </c>
      <c r="F18">
        <f>Table1[[#This Row],[Product weight]]*Table1[[#This Row],[Order Qty]]</f>
        <v>480</v>
      </c>
      <c r="G18">
        <f>Table1[[#This Row],[Weight per order (g)]]/1000</f>
        <v>0.48</v>
      </c>
      <c r="H18" s="1">
        <f>CEILING(Table1[[#This Row],[Weight per order (Kg)]],0.5)</f>
        <v>0.5</v>
      </c>
      <c r="I18" t="str">
        <f>_xlfn.XLOOKUP(Table1[[#This Row],[OrderID]],'Courier company invoice'!B:B,'Courier company invoice'!F:F)</f>
        <v>d</v>
      </c>
      <c r="J18" s="1" t="str">
        <f>_xlfn.XLOOKUP(Table1[[#This Row],[OrderID]],Table2[Order ID],Table2[Type of Shipment],"Not Found")</f>
        <v>Forward charges</v>
      </c>
      <c r="K18">
        <f>INDEX(Sheet1[],1,MATCH("fwd_"&amp;Table1[[#This Row],[Zone]]&amp;"_fixed",Sheet1[#Headers],0))</f>
        <v>45.4</v>
      </c>
      <c r="L18">
        <f>INDEX(Sheet1[],1,MATCH("fwd_"&amp;Table1[[#This Row],[Zone]]&amp;"_additional",Sheet1[#Headers],0))</f>
        <v>44.8</v>
      </c>
      <c r="M18" s="1">
        <f>(Table1[[#This Row],[Weight slab]]-0.5)/0.5</f>
        <v>0</v>
      </c>
      <c r="N18" s="1">
        <f>Table1[[#This Row],[Fixed_Charges]]+Table1[[#This Row],[No_of_Extra_slabs]]*Table1[[#This Row],[Additional_Charges]]</f>
        <v>45.4</v>
      </c>
      <c r="O18">
        <f>_xlfn.XLOOKUP(Table1[[#This Row],[OrderID]],'Courier company invoice'!B:B,'Courier company invoice'!H:H)</f>
        <v>135</v>
      </c>
      <c r="P18" s="1">
        <f>Table1[[#This Row],[Billing Amount]]-Table1[[#This Row],[Expected charges]]</f>
        <v>89.6</v>
      </c>
      <c r="Q18" s="1" t="str" cm="1">
        <f t="array" ref="Q1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9" spans="1:17" x14ac:dyDescent="0.3">
      <c r="A19" s="3" t="s">
        <v>5</v>
      </c>
      <c r="B19" s="2">
        <f>Table1[[#This Row],[Order ID]]*1</f>
        <v>2001822466</v>
      </c>
      <c r="C19" s="2">
        <v>8904223819291</v>
      </c>
      <c r="D19">
        <v>8</v>
      </c>
      <c r="E19">
        <f>_xlfn.XLOOKUP(Table1[[#This Row],[SKU (Product Code)]],'SKU Master'!A:A,'SKU Master'!B:B)</f>
        <v>112</v>
      </c>
      <c r="F19">
        <f>Table1[[#This Row],[Product weight]]*Table1[[#This Row],[Order Qty]]</f>
        <v>896</v>
      </c>
      <c r="G19">
        <f>Table1[[#This Row],[Weight per order (g)]]/1000</f>
        <v>0.89600000000000002</v>
      </c>
      <c r="H19" s="1">
        <f>CEILING(Table1[[#This Row],[Weight per order (Kg)]],0.5)</f>
        <v>1</v>
      </c>
      <c r="I19" t="str">
        <f>_xlfn.XLOOKUP(Table1[[#This Row],[OrderID]],'Courier company invoice'!B:B,'Courier company invoice'!F:F)</f>
        <v>d</v>
      </c>
      <c r="J19" s="1" t="str">
        <f>_xlfn.XLOOKUP(Table1[[#This Row],[OrderID]],Table2[Order ID],Table2[Type of Shipment],"Not Found")</f>
        <v>Forward charges</v>
      </c>
      <c r="K19">
        <f>INDEX(Sheet1[],1,MATCH("fwd_"&amp;Table1[[#This Row],[Zone]]&amp;"_fixed",Sheet1[#Headers],0))</f>
        <v>45.4</v>
      </c>
      <c r="L19">
        <f>INDEX(Sheet1[],1,MATCH("fwd_"&amp;Table1[[#This Row],[Zone]]&amp;"_additional",Sheet1[#Headers],0))</f>
        <v>44.8</v>
      </c>
      <c r="M19" s="1">
        <f>(Table1[[#This Row],[Weight slab]]-0.5)/0.5</f>
        <v>1</v>
      </c>
      <c r="N19" s="1">
        <f>Table1[[#This Row],[Fixed_Charges]]+Table1[[#This Row],[No_of_Extra_slabs]]*Table1[[#This Row],[Additional_Charges]]</f>
        <v>90.199999999999989</v>
      </c>
      <c r="O19">
        <f>_xlfn.XLOOKUP(Table1[[#This Row],[OrderID]],'Courier company invoice'!B:B,'Courier company invoice'!H:H)</f>
        <v>135</v>
      </c>
      <c r="P19" s="1">
        <f>Table1[[#This Row],[Billing Amount]]-Table1[[#This Row],[Expected charges]]</f>
        <v>44.800000000000011</v>
      </c>
      <c r="Q19" s="1" t="str" cm="1">
        <f t="array" ref="Q1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0" spans="1:17" x14ac:dyDescent="0.3">
      <c r="A20" s="3" t="s">
        <v>6</v>
      </c>
      <c r="B20" s="2">
        <f>Table1[[#This Row],[Order ID]]*1</f>
        <v>2001821995</v>
      </c>
      <c r="C20" s="2">
        <v>8904223819130</v>
      </c>
      <c r="D20">
        <v>1</v>
      </c>
      <c r="E20">
        <f>_xlfn.XLOOKUP(Table1[[#This Row],[SKU (Product Code)]],'SKU Master'!A:A,'SKU Master'!B:B)</f>
        <v>350</v>
      </c>
      <c r="F20">
        <f>Table1[[#This Row],[Product weight]]*Table1[[#This Row],[Order Qty]]</f>
        <v>350</v>
      </c>
      <c r="G20">
        <f>Table1[[#This Row],[Weight per order (g)]]/1000</f>
        <v>0.35</v>
      </c>
      <c r="H20" s="1">
        <f>CEILING(Table1[[#This Row],[Weight per order (Kg)]],0.5)</f>
        <v>0.5</v>
      </c>
      <c r="I20" t="str">
        <f>_xlfn.XLOOKUP(Table1[[#This Row],[OrderID]],'Courier company invoice'!B:B,'Courier company invoice'!F:F)</f>
        <v>d</v>
      </c>
      <c r="J20" s="1" t="str">
        <f>_xlfn.XLOOKUP(Table1[[#This Row],[OrderID]],Table2[Order ID],Table2[Type of Shipment],"Not Found")</f>
        <v>Forward charges</v>
      </c>
      <c r="K20">
        <f>INDEX(Sheet1[],1,MATCH("fwd_"&amp;Table1[[#This Row],[Zone]]&amp;"_fixed",Sheet1[#Headers],0))</f>
        <v>45.4</v>
      </c>
      <c r="L20">
        <f>INDEX(Sheet1[],1,MATCH("fwd_"&amp;Table1[[#This Row],[Zone]]&amp;"_additional",Sheet1[#Headers],0))</f>
        <v>44.8</v>
      </c>
      <c r="M20" s="1">
        <f>(Table1[[#This Row],[Weight slab]]-0.5)/0.5</f>
        <v>0</v>
      </c>
      <c r="N20" s="1">
        <f>Table1[[#This Row],[Fixed_Charges]]+Table1[[#This Row],[No_of_Extra_slabs]]*Table1[[#This Row],[Additional_Charges]]</f>
        <v>45.4</v>
      </c>
      <c r="O20">
        <f>_xlfn.XLOOKUP(Table1[[#This Row],[OrderID]],'Courier company invoice'!B:B,'Courier company invoice'!H:H)</f>
        <v>45.4</v>
      </c>
      <c r="P20" s="1">
        <f>Table1[[#This Row],[Billing Amount]]-Table1[[#This Row],[Expected charges]]</f>
        <v>0</v>
      </c>
      <c r="Q20" s="1" t="str" cm="1">
        <f t="array" ref="Q2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21" spans="1:17" x14ac:dyDescent="0.3">
      <c r="A21" s="3" t="s">
        <v>6</v>
      </c>
      <c r="B21" s="2">
        <f>Table1[[#This Row],[Order ID]]*1</f>
        <v>2001821995</v>
      </c>
      <c r="C21" s="2">
        <v>8904223818706</v>
      </c>
      <c r="D21">
        <v>1</v>
      </c>
      <c r="E21">
        <f>_xlfn.XLOOKUP(Table1[[#This Row],[SKU (Product Code)]],'SKU Master'!A:A,'SKU Master'!B:B)</f>
        <v>127</v>
      </c>
      <c r="F21">
        <f>Table1[[#This Row],[Product weight]]*Table1[[#This Row],[Order Qty]]</f>
        <v>127</v>
      </c>
      <c r="G21">
        <f>Table1[[#This Row],[Weight per order (g)]]/1000</f>
        <v>0.127</v>
      </c>
      <c r="H21" s="1">
        <f>CEILING(Table1[[#This Row],[Weight per order (Kg)]],0.5)</f>
        <v>0.5</v>
      </c>
      <c r="I21" t="str">
        <f>_xlfn.XLOOKUP(Table1[[#This Row],[OrderID]],'Courier company invoice'!B:B,'Courier company invoice'!F:F)</f>
        <v>d</v>
      </c>
      <c r="J21" s="1" t="str">
        <f>_xlfn.XLOOKUP(Table1[[#This Row],[OrderID]],Table2[Order ID],Table2[Type of Shipment],"Not Found")</f>
        <v>Forward charges</v>
      </c>
      <c r="K21">
        <f>INDEX(Sheet1[],1,MATCH("fwd_"&amp;Table1[[#This Row],[Zone]]&amp;"_fixed",Sheet1[#Headers],0))</f>
        <v>45.4</v>
      </c>
      <c r="L21">
        <f>INDEX(Sheet1[],1,MATCH("fwd_"&amp;Table1[[#This Row],[Zone]]&amp;"_additional",Sheet1[#Headers],0))</f>
        <v>44.8</v>
      </c>
      <c r="M21" s="1">
        <f>(Table1[[#This Row],[Weight slab]]-0.5)/0.5</f>
        <v>0</v>
      </c>
      <c r="N21" s="1">
        <f>Table1[[#This Row],[Fixed_Charges]]+Table1[[#This Row],[No_of_Extra_slabs]]*Table1[[#This Row],[Additional_Charges]]</f>
        <v>45.4</v>
      </c>
      <c r="O21">
        <f>_xlfn.XLOOKUP(Table1[[#This Row],[OrderID]],'Courier company invoice'!B:B,'Courier company invoice'!H:H)</f>
        <v>45.4</v>
      </c>
      <c r="P21" s="1">
        <f>Table1[[#This Row],[Billing Amount]]-Table1[[#This Row],[Expected charges]]</f>
        <v>0</v>
      </c>
      <c r="Q21" s="1" t="str" cm="1">
        <f t="array" ref="Q2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22" spans="1:17" x14ac:dyDescent="0.3">
      <c r="A22" s="3" t="s">
        <v>7</v>
      </c>
      <c r="B22" s="2">
        <f>Table1[[#This Row],[Order ID]]*1</f>
        <v>2001821766</v>
      </c>
      <c r="C22" s="2">
        <v>8904223818591</v>
      </c>
      <c r="D22">
        <v>2</v>
      </c>
      <c r="E22">
        <f>_xlfn.XLOOKUP(Table1[[#This Row],[SKU (Product Code)]],'SKU Master'!A:A,'SKU Master'!B:B)</f>
        <v>120</v>
      </c>
      <c r="F22">
        <f>Table1[[#This Row],[Product weight]]*Table1[[#This Row],[Order Qty]]</f>
        <v>240</v>
      </c>
      <c r="G22">
        <f>Table1[[#This Row],[Weight per order (g)]]/1000</f>
        <v>0.24</v>
      </c>
      <c r="H22" s="1">
        <f>CEILING(Table1[[#This Row],[Weight per order (Kg)]],0.5)</f>
        <v>0.5</v>
      </c>
      <c r="I22" t="str">
        <f>_xlfn.XLOOKUP(Table1[[#This Row],[OrderID]],'Courier company invoice'!B:B,'Courier company invoice'!F:F)</f>
        <v>d</v>
      </c>
      <c r="J22" s="1" t="str">
        <f>_xlfn.XLOOKUP(Table1[[#This Row],[OrderID]],Table2[Order ID],Table2[Type of Shipment],"Not Found")</f>
        <v>Forward charges</v>
      </c>
      <c r="K22">
        <f>INDEX(Sheet1[],1,MATCH("fwd_"&amp;Table1[[#This Row],[Zone]]&amp;"_fixed",Sheet1[#Headers],0))</f>
        <v>45.4</v>
      </c>
      <c r="L22">
        <f>INDEX(Sheet1[],1,MATCH("fwd_"&amp;Table1[[#This Row],[Zone]]&amp;"_additional",Sheet1[#Headers],0))</f>
        <v>44.8</v>
      </c>
      <c r="M22" s="1">
        <f>(Table1[[#This Row],[Weight slab]]-0.5)/0.5</f>
        <v>0</v>
      </c>
      <c r="N22" s="1">
        <f>Table1[[#This Row],[Fixed_Charges]]+Table1[[#This Row],[No_of_Extra_slabs]]*Table1[[#This Row],[Additional_Charges]]</f>
        <v>45.4</v>
      </c>
      <c r="O22">
        <f>_xlfn.XLOOKUP(Table1[[#This Row],[OrderID]],'Courier company invoice'!B:B,'Courier company invoice'!H:H)</f>
        <v>45.4</v>
      </c>
      <c r="P22" s="1">
        <f>Table1[[#This Row],[Billing Amount]]-Table1[[#This Row],[Expected charges]]</f>
        <v>0</v>
      </c>
      <c r="Q22" s="1" t="str" cm="1">
        <f t="array" ref="Q2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23" spans="1:17" x14ac:dyDescent="0.3">
      <c r="A23" s="3" t="s">
        <v>8</v>
      </c>
      <c r="B23" s="2">
        <f>Table1[[#This Row],[Order ID]]*1</f>
        <v>2001821750</v>
      </c>
      <c r="C23" s="2">
        <v>8904223818850</v>
      </c>
      <c r="D23">
        <v>1</v>
      </c>
      <c r="E23">
        <f>_xlfn.XLOOKUP(Table1[[#This Row],[SKU (Product Code)]],'SKU Master'!A:A,'SKU Master'!B:B)</f>
        <v>240</v>
      </c>
      <c r="F23">
        <f>Table1[[#This Row],[Product weight]]*Table1[[#This Row],[Order Qty]]</f>
        <v>240</v>
      </c>
      <c r="G23">
        <f>Table1[[#This Row],[Weight per order (g)]]/1000</f>
        <v>0.24</v>
      </c>
      <c r="H23" s="1">
        <f>CEILING(Table1[[#This Row],[Weight per order (Kg)]],0.5)</f>
        <v>0.5</v>
      </c>
      <c r="I23" t="str">
        <f>_xlfn.XLOOKUP(Table1[[#This Row],[OrderID]],'Courier company invoice'!B:B,'Courier company invoice'!F:F)</f>
        <v>d</v>
      </c>
      <c r="J23" s="1" t="str">
        <f>_xlfn.XLOOKUP(Table1[[#This Row],[OrderID]],Table2[Order ID],Table2[Type of Shipment],"Not Found")</f>
        <v>Forward charges</v>
      </c>
      <c r="K23">
        <f>INDEX(Sheet1[],1,MATCH("fwd_"&amp;Table1[[#This Row],[Zone]]&amp;"_fixed",Sheet1[#Headers],0))</f>
        <v>45.4</v>
      </c>
      <c r="L23">
        <f>INDEX(Sheet1[],1,MATCH("fwd_"&amp;Table1[[#This Row],[Zone]]&amp;"_additional",Sheet1[#Headers],0))</f>
        <v>44.8</v>
      </c>
      <c r="M23" s="1">
        <f>(Table1[[#This Row],[Weight slab]]-0.5)/0.5</f>
        <v>0</v>
      </c>
      <c r="N23" s="1">
        <f>Table1[[#This Row],[Fixed_Charges]]+Table1[[#This Row],[No_of_Extra_slabs]]*Table1[[#This Row],[Additional_Charges]]</f>
        <v>45.4</v>
      </c>
      <c r="O23">
        <f>_xlfn.XLOOKUP(Table1[[#This Row],[OrderID]],'Courier company invoice'!B:B,'Courier company invoice'!H:H)</f>
        <v>90.2</v>
      </c>
      <c r="P23" s="1">
        <f>Table1[[#This Row],[Billing Amount]]-Table1[[#This Row],[Expected charges]]</f>
        <v>44.800000000000004</v>
      </c>
      <c r="Q23" s="1" t="str" cm="1">
        <f t="array" ref="Q2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4" spans="1:17" x14ac:dyDescent="0.3">
      <c r="A24" s="3" t="s">
        <v>8</v>
      </c>
      <c r="B24" s="2">
        <f>Table1[[#This Row],[Order ID]]*1</f>
        <v>2001821750</v>
      </c>
      <c r="C24" s="2">
        <v>8904223818430</v>
      </c>
      <c r="D24">
        <v>1</v>
      </c>
      <c r="E24">
        <f>_xlfn.XLOOKUP(Table1[[#This Row],[SKU (Product Code)]],'SKU Master'!A:A,'SKU Master'!B:B)</f>
        <v>165</v>
      </c>
      <c r="F24">
        <f>Table1[[#This Row],[Product weight]]*Table1[[#This Row],[Order Qty]]</f>
        <v>165</v>
      </c>
      <c r="G24">
        <f>Table1[[#This Row],[Weight per order (g)]]/1000</f>
        <v>0.16500000000000001</v>
      </c>
      <c r="H24" s="1">
        <f>CEILING(Table1[[#This Row],[Weight per order (Kg)]],0.5)</f>
        <v>0.5</v>
      </c>
      <c r="I24" t="str">
        <f>_xlfn.XLOOKUP(Table1[[#This Row],[OrderID]],'Courier company invoice'!B:B,'Courier company invoice'!F:F)</f>
        <v>d</v>
      </c>
      <c r="J24" s="1" t="str">
        <f>_xlfn.XLOOKUP(Table1[[#This Row],[OrderID]],Table2[Order ID],Table2[Type of Shipment],"Not Found")</f>
        <v>Forward charges</v>
      </c>
      <c r="K24">
        <f>INDEX(Sheet1[],1,MATCH("fwd_"&amp;Table1[[#This Row],[Zone]]&amp;"_fixed",Sheet1[#Headers],0))</f>
        <v>45.4</v>
      </c>
      <c r="L24">
        <f>INDEX(Sheet1[],1,MATCH("fwd_"&amp;Table1[[#This Row],[Zone]]&amp;"_additional",Sheet1[#Headers],0))</f>
        <v>44.8</v>
      </c>
      <c r="M24" s="1">
        <f>(Table1[[#This Row],[Weight slab]]-0.5)/0.5</f>
        <v>0</v>
      </c>
      <c r="N24" s="1">
        <f>Table1[[#This Row],[Fixed_Charges]]+Table1[[#This Row],[No_of_Extra_slabs]]*Table1[[#This Row],[Additional_Charges]]</f>
        <v>45.4</v>
      </c>
      <c r="O24">
        <f>_xlfn.XLOOKUP(Table1[[#This Row],[OrderID]],'Courier company invoice'!B:B,'Courier company invoice'!H:H)</f>
        <v>90.2</v>
      </c>
      <c r="P24" s="1">
        <f>Table1[[#This Row],[Billing Amount]]-Table1[[#This Row],[Expected charges]]</f>
        <v>44.800000000000004</v>
      </c>
      <c r="Q24" s="1" t="str" cm="1">
        <f t="array" ref="Q2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5" spans="1:17" x14ac:dyDescent="0.3">
      <c r="A25" s="3" t="s">
        <v>8</v>
      </c>
      <c r="B25" s="2">
        <f>Table1[[#This Row],[Order ID]]*1</f>
        <v>2001821750</v>
      </c>
      <c r="C25" s="2">
        <v>8904223819130</v>
      </c>
      <c r="D25">
        <v>1</v>
      </c>
      <c r="E25">
        <f>_xlfn.XLOOKUP(Table1[[#This Row],[SKU (Product Code)]],'SKU Master'!A:A,'SKU Master'!B:B)</f>
        <v>350</v>
      </c>
      <c r="F25">
        <f>Table1[[#This Row],[Product weight]]*Table1[[#This Row],[Order Qty]]</f>
        <v>350</v>
      </c>
      <c r="G25">
        <f>Table1[[#This Row],[Weight per order (g)]]/1000</f>
        <v>0.35</v>
      </c>
      <c r="H25" s="1">
        <f>CEILING(Table1[[#This Row],[Weight per order (Kg)]],0.5)</f>
        <v>0.5</v>
      </c>
      <c r="I25" t="str">
        <f>_xlfn.XLOOKUP(Table1[[#This Row],[OrderID]],'Courier company invoice'!B:B,'Courier company invoice'!F:F)</f>
        <v>d</v>
      </c>
      <c r="J25" s="1" t="str">
        <f>_xlfn.XLOOKUP(Table1[[#This Row],[OrderID]],Table2[Order ID],Table2[Type of Shipment],"Not Found")</f>
        <v>Forward charges</v>
      </c>
      <c r="K25">
        <f>INDEX(Sheet1[],1,MATCH("fwd_"&amp;Table1[[#This Row],[Zone]]&amp;"_fixed",Sheet1[#Headers],0))</f>
        <v>45.4</v>
      </c>
      <c r="L25">
        <f>INDEX(Sheet1[],1,MATCH("fwd_"&amp;Table1[[#This Row],[Zone]]&amp;"_additional",Sheet1[#Headers],0))</f>
        <v>44.8</v>
      </c>
      <c r="M25" s="1">
        <f>(Table1[[#This Row],[Weight slab]]-0.5)/0.5</f>
        <v>0</v>
      </c>
      <c r="N25" s="1">
        <f>Table1[[#This Row],[Fixed_Charges]]+Table1[[#This Row],[No_of_Extra_slabs]]*Table1[[#This Row],[Additional_Charges]]</f>
        <v>45.4</v>
      </c>
      <c r="O25">
        <f>_xlfn.XLOOKUP(Table1[[#This Row],[OrderID]],'Courier company invoice'!B:B,'Courier company invoice'!H:H)</f>
        <v>90.2</v>
      </c>
      <c r="P25" s="1">
        <f>Table1[[#This Row],[Billing Amount]]-Table1[[#This Row],[Expected charges]]</f>
        <v>44.800000000000004</v>
      </c>
      <c r="Q25" s="1" t="str" cm="1">
        <f t="array" ref="Q2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6" spans="1:17" x14ac:dyDescent="0.3">
      <c r="A26" s="3" t="s">
        <v>9</v>
      </c>
      <c r="B26" s="2">
        <f>Table1[[#This Row],[Order ID]]*1</f>
        <v>2001821742</v>
      </c>
      <c r="C26" s="2">
        <v>8904223819468</v>
      </c>
      <c r="D26">
        <v>1</v>
      </c>
      <c r="E26">
        <f>_xlfn.XLOOKUP(Table1[[#This Row],[SKU (Product Code)]],'SKU Master'!A:A,'SKU Master'!B:B)</f>
        <v>240</v>
      </c>
      <c r="F26">
        <f>Table1[[#This Row],[Product weight]]*Table1[[#This Row],[Order Qty]]</f>
        <v>240</v>
      </c>
      <c r="G26">
        <f>Table1[[#This Row],[Weight per order (g)]]/1000</f>
        <v>0.24</v>
      </c>
      <c r="H26" s="1">
        <f>CEILING(Table1[[#This Row],[Weight per order (Kg)]],0.5)</f>
        <v>0.5</v>
      </c>
      <c r="I26" t="str">
        <f>_xlfn.XLOOKUP(Table1[[#This Row],[OrderID]],'Courier company invoice'!B:B,'Courier company invoice'!F:F)</f>
        <v>d</v>
      </c>
      <c r="J26" s="1" t="str">
        <f>_xlfn.XLOOKUP(Table1[[#This Row],[OrderID]],Table2[Order ID],Table2[Type of Shipment],"Not Found")</f>
        <v>Forward charges</v>
      </c>
      <c r="K26">
        <f>INDEX(Sheet1[],1,MATCH("fwd_"&amp;Table1[[#This Row],[Zone]]&amp;"_fixed",Sheet1[#Headers],0))</f>
        <v>45.4</v>
      </c>
      <c r="L26">
        <f>INDEX(Sheet1[],1,MATCH("fwd_"&amp;Table1[[#This Row],[Zone]]&amp;"_additional",Sheet1[#Headers],0))</f>
        <v>44.8</v>
      </c>
      <c r="M26" s="1">
        <f>(Table1[[#This Row],[Weight slab]]-0.5)/0.5</f>
        <v>0</v>
      </c>
      <c r="N26" s="1">
        <f>Table1[[#This Row],[Fixed_Charges]]+Table1[[#This Row],[No_of_Extra_slabs]]*Table1[[#This Row],[Additional_Charges]]</f>
        <v>45.4</v>
      </c>
      <c r="O26">
        <f>_xlfn.XLOOKUP(Table1[[#This Row],[OrderID]],'Courier company invoice'!B:B,'Courier company invoice'!H:H)</f>
        <v>45.4</v>
      </c>
      <c r="P26" s="1">
        <f>Table1[[#This Row],[Billing Amount]]-Table1[[#This Row],[Expected charges]]</f>
        <v>0</v>
      </c>
      <c r="Q26" s="1" t="str" cm="1">
        <f t="array" ref="Q2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27" spans="1:17" x14ac:dyDescent="0.3">
      <c r="A27" s="3" t="s">
        <v>10</v>
      </c>
      <c r="B27" s="2">
        <f>Table1[[#This Row],[Order ID]]*1</f>
        <v>2001821679</v>
      </c>
      <c r="C27" s="2">
        <v>8904223818430</v>
      </c>
      <c r="D27">
        <v>1</v>
      </c>
      <c r="E27">
        <f>_xlfn.XLOOKUP(Table1[[#This Row],[SKU (Product Code)]],'SKU Master'!A:A,'SKU Master'!B:B)</f>
        <v>165</v>
      </c>
      <c r="F27">
        <f>Table1[[#This Row],[Product weight]]*Table1[[#This Row],[Order Qty]]</f>
        <v>165</v>
      </c>
      <c r="G27">
        <f>Table1[[#This Row],[Weight per order (g)]]/1000</f>
        <v>0.16500000000000001</v>
      </c>
      <c r="H27" s="1">
        <f>CEILING(Table1[[#This Row],[Weight per order (Kg)]],0.5)</f>
        <v>0.5</v>
      </c>
      <c r="I27" t="str">
        <f>_xlfn.XLOOKUP(Table1[[#This Row],[OrderID]],'Courier company invoice'!B:B,'Courier company invoice'!F:F)</f>
        <v>d</v>
      </c>
      <c r="J27" s="1" t="str">
        <f>_xlfn.XLOOKUP(Table1[[#This Row],[OrderID]],Table2[Order ID],Table2[Type of Shipment],"Not Found")</f>
        <v>Forward charges</v>
      </c>
      <c r="K27">
        <f>INDEX(Sheet1[],1,MATCH("fwd_"&amp;Table1[[#This Row],[Zone]]&amp;"_fixed",Sheet1[#Headers],0))</f>
        <v>45.4</v>
      </c>
      <c r="L27">
        <f>INDEX(Sheet1[],1,MATCH("fwd_"&amp;Table1[[#This Row],[Zone]]&amp;"_additional",Sheet1[#Headers],0))</f>
        <v>44.8</v>
      </c>
      <c r="M27" s="1">
        <f>(Table1[[#This Row],[Weight slab]]-0.5)/0.5</f>
        <v>0</v>
      </c>
      <c r="N27" s="1">
        <f>Table1[[#This Row],[Fixed_Charges]]+Table1[[#This Row],[No_of_Extra_slabs]]*Table1[[#This Row],[Additional_Charges]]</f>
        <v>45.4</v>
      </c>
      <c r="O27">
        <f>_xlfn.XLOOKUP(Table1[[#This Row],[OrderID]],'Courier company invoice'!B:B,'Courier company invoice'!H:H)</f>
        <v>45.4</v>
      </c>
      <c r="P27" s="1">
        <f>Table1[[#This Row],[Billing Amount]]-Table1[[#This Row],[Expected charges]]</f>
        <v>0</v>
      </c>
      <c r="Q27" s="1" t="str" cm="1">
        <f t="array" ref="Q2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28" spans="1:17" x14ac:dyDescent="0.3">
      <c r="A28" s="3" t="s">
        <v>11</v>
      </c>
      <c r="B28" s="2">
        <f>Table1[[#This Row],[Order ID]]*1</f>
        <v>2001821502</v>
      </c>
      <c r="C28" s="2">
        <v>8904223818980</v>
      </c>
      <c r="D28">
        <v>1</v>
      </c>
      <c r="E28">
        <f>_xlfn.XLOOKUP(Table1[[#This Row],[SKU (Product Code)]],'SKU Master'!A:A,'SKU Master'!B:B)</f>
        <v>110</v>
      </c>
      <c r="F28">
        <f>Table1[[#This Row],[Product weight]]*Table1[[#This Row],[Order Qty]]</f>
        <v>110</v>
      </c>
      <c r="G28">
        <f>Table1[[#This Row],[Weight per order (g)]]/1000</f>
        <v>0.11</v>
      </c>
      <c r="H28" s="1">
        <f>CEILING(Table1[[#This Row],[Weight per order (Kg)]],0.5)</f>
        <v>0.5</v>
      </c>
      <c r="I28" t="str">
        <f>_xlfn.XLOOKUP(Table1[[#This Row],[OrderID]],'Courier company invoice'!B:B,'Courier company invoice'!F:F)</f>
        <v>d</v>
      </c>
      <c r="J28" s="1" t="str">
        <f>_xlfn.XLOOKUP(Table1[[#This Row],[OrderID]],Table2[Order ID],Table2[Type of Shipment],"Not Found")</f>
        <v>Forward charges</v>
      </c>
      <c r="K28">
        <f>INDEX(Sheet1[],1,MATCH("fwd_"&amp;Table1[[#This Row],[Zone]]&amp;"_fixed",Sheet1[#Headers],0))</f>
        <v>45.4</v>
      </c>
      <c r="L28">
        <f>INDEX(Sheet1[],1,MATCH("fwd_"&amp;Table1[[#This Row],[Zone]]&amp;"_additional",Sheet1[#Headers],0))</f>
        <v>44.8</v>
      </c>
      <c r="M28" s="1">
        <f>(Table1[[#This Row],[Weight slab]]-0.5)/0.5</f>
        <v>0</v>
      </c>
      <c r="N28" s="1">
        <f>Table1[[#This Row],[Fixed_Charges]]+Table1[[#This Row],[No_of_Extra_slabs]]*Table1[[#This Row],[Additional_Charges]]</f>
        <v>45.4</v>
      </c>
      <c r="O28">
        <f>_xlfn.XLOOKUP(Table1[[#This Row],[OrderID]],'Courier company invoice'!B:B,'Courier company invoice'!H:H)</f>
        <v>90.2</v>
      </c>
      <c r="P28" s="1">
        <f>Table1[[#This Row],[Billing Amount]]-Table1[[#This Row],[Expected charges]]</f>
        <v>44.800000000000004</v>
      </c>
      <c r="Q28" s="1" t="str" cm="1">
        <f t="array" ref="Q2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9" spans="1:17" x14ac:dyDescent="0.3">
      <c r="A29" s="3" t="s">
        <v>11</v>
      </c>
      <c r="B29" s="2">
        <f>Table1[[#This Row],[Order ID]]*1</f>
        <v>2001821502</v>
      </c>
      <c r="C29" s="2">
        <v>8904223819031</v>
      </c>
      <c r="D29">
        <v>2</v>
      </c>
      <c r="E29">
        <f>_xlfn.XLOOKUP(Table1[[#This Row],[SKU (Product Code)]],'SKU Master'!A:A,'SKU Master'!B:B)</f>
        <v>112</v>
      </c>
      <c r="F29">
        <f>Table1[[#This Row],[Product weight]]*Table1[[#This Row],[Order Qty]]</f>
        <v>224</v>
      </c>
      <c r="G29">
        <f>Table1[[#This Row],[Weight per order (g)]]/1000</f>
        <v>0.224</v>
      </c>
      <c r="H29" s="1">
        <f>CEILING(Table1[[#This Row],[Weight per order (Kg)]],0.5)</f>
        <v>0.5</v>
      </c>
      <c r="I29" t="str">
        <f>_xlfn.XLOOKUP(Table1[[#This Row],[OrderID]],'Courier company invoice'!B:B,'Courier company invoice'!F:F)</f>
        <v>d</v>
      </c>
      <c r="J29" s="1" t="str">
        <f>_xlfn.XLOOKUP(Table1[[#This Row],[OrderID]],Table2[Order ID],Table2[Type of Shipment],"Not Found")</f>
        <v>Forward charges</v>
      </c>
      <c r="K29">
        <f>INDEX(Sheet1[],1,MATCH("fwd_"&amp;Table1[[#This Row],[Zone]]&amp;"_fixed",Sheet1[#Headers],0))</f>
        <v>45.4</v>
      </c>
      <c r="L29">
        <f>INDEX(Sheet1[],1,MATCH("fwd_"&amp;Table1[[#This Row],[Zone]]&amp;"_additional",Sheet1[#Headers],0))</f>
        <v>44.8</v>
      </c>
      <c r="M29" s="1">
        <f>(Table1[[#This Row],[Weight slab]]-0.5)/0.5</f>
        <v>0</v>
      </c>
      <c r="N29" s="1">
        <f>Table1[[#This Row],[Fixed_Charges]]+Table1[[#This Row],[No_of_Extra_slabs]]*Table1[[#This Row],[Additional_Charges]]</f>
        <v>45.4</v>
      </c>
      <c r="O29">
        <f>_xlfn.XLOOKUP(Table1[[#This Row],[OrderID]],'Courier company invoice'!B:B,'Courier company invoice'!H:H)</f>
        <v>90.2</v>
      </c>
      <c r="P29" s="1">
        <f>Table1[[#This Row],[Billing Amount]]-Table1[[#This Row],[Expected charges]]</f>
        <v>44.800000000000004</v>
      </c>
      <c r="Q29" s="1" t="str" cm="1">
        <f t="array" ref="Q2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0" spans="1:17" x14ac:dyDescent="0.3">
      <c r="A30" s="3" t="s">
        <v>11</v>
      </c>
      <c r="B30" s="2">
        <f>Table1[[#This Row],[Order ID]]*1</f>
        <v>2001821502</v>
      </c>
      <c r="C30" s="2">
        <v>8904223819024</v>
      </c>
      <c r="D30">
        <v>2</v>
      </c>
      <c r="E30">
        <f>_xlfn.XLOOKUP(Table1[[#This Row],[SKU (Product Code)]],'SKU Master'!A:A,'SKU Master'!B:B)</f>
        <v>112</v>
      </c>
      <c r="F30">
        <f>Table1[[#This Row],[Product weight]]*Table1[[#This Row],[Order Qty]]</f>
        <v>224</v>
      </c>
      <c r="G30">
        <f>Table1[[#This Row],[Weight per order (g)]]/1000</f>
        <v>0.224</v>
      </c>
      <c r="H30" s="1">
        <f>CEILING(Table1[[#This Row],[Weight per order (Kg)]],0.5)</f>
        <v>0.5</v>
      </c>
      <c r="I30" t="str">
        <f>_xlfn.XLOOKUP(Table1[[#This Row],[OrderID]],'Courier company invoice'!B:B,'Courier company invoice'!F:F)</f>
        <v>d</v>
      </c>
      <c r="J30" s="1" t="str">
        <f>_xlfn.XLOOKUP(Table1[[#This Row],[OrderID]],Table2[Order ID],Table2[Type of Shipment],"Not Found")</f>
        <v>Forward charges</v>
      </c>
      <c r="K30">
        <f>INDEX(Sheet1[],1,MATCH("fwd_"&amp;Table1[[#This Row],[Zone]]&amp;"_fixed",Sheet1[#Headers],0))</f>
        <v>45.4</v>
      </c>
      <c r="L30">
        <f>INDEX(Sheet1[],1,MATCH("fwd_"&amp;Table1[[#This Row],[Zone]]&amp;"_additional",Sheet1[#Headers],0))</f>
        <v>44.8</v>
      </c>
      <c r="M30" s="1">
        <f>(Table1[[#This Row],[Weight slab]]-0.5)/0.5</f>
        <v>0</v>
      </c>
      <c r="N30" s="1">
        <f>Table1[[#This Row],[Fixed_Charges]]+Table1[[#This Row],[No_of_Extra_slabs]]*Table1[[#This Row],[Additional_Charges]]</f>
        <v>45.4</v>
      </c>
      <c r="O30">
        <f>_xlfn.XLOOKUP(Table1[[#This Row],[OrderID]],'Courier company invoice'!B:B,'Courier company invoice'!H:H)</f>
        <v>90.2</v>
      </c>
      <c r="P30" s="1">
        <f>Table1[[#This Row],[Billing Amount]]-Table1[[#This Row],[Expected charges]]</f>
        <v>44.800000000000004</v>
      </c>
      <c r="Q30" s="1" t="str" cm="1">
        <f t="array" ref="Q3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1" spans="1:17" x14ac:dyDescent="0.3">
      <c r="A31" s="3" t="s">
        <v>12</v>
      </c>
      <c r="B31" s="2">
        <f>Table1[[#This Row],[Order ID]]*1</f>
        <v>2001821284</v>
      </c>
      <c r="C31" s="2">
        <v>8904223818614</v>
      </c>
      <c r="D31">
        <v>1</v>
      </c>
      <c r="E31">
        <f>_xlfn.XLOOKUP(Table1[[#This Row],[SKU (Product Code)]],'SKU Master'!A:A,'SKU Master'!B:B)</f>
        <v>65</v>
      </c>
      <c r="F31">
        <f>Table1[[#This Row],[Product weight]]*Table1[[#This Row],[Order Qty]]</f>
        <v>65</v>
      </c>
      <c r="G31">
        <f>Table1[[#This Row],[Weight per order (g)]]/1000</f>
        <v>6.5000000000000002E-2</v>
      </c>
      <c r="H31" s="1">
        <f>CEILING(Table1[[#This Row],[Weight per order (Kg)]],0.5)</f>
        <v>0.5</v>
      </c>
      <c r="I31" t="str">
        <f>_xlfn.XLOOKUP(Table1[[#This Row],[OrderID]],'Courier company invoice'!B:B,'Courier company invoice'!F:F)</f>
        <v>d</v>
      </c>
      <c r="J31" s="1" t="str">
        <f>_xlfn.XLOOKUP(Table1[[#This Row],[OrderID]],Table2[Order ID],Table2[Type of Shipment],"Not Found")</f>
        <v>Forward charges</v>
      </c>
      <c r="K31">
        <f>INDEX(Sheet1[],1,MATCH("fwd_"&amp;Table1[[#This Row],[Zone]]&amp;"_fixed",Sheet1[#Headers],0))</f>
        <v>45.4</v>
      </c>
      <c r="L31">
        <f>INDEX(Sheet1[],1,MATCH("fwd_"&amp;Table1[[#This Row],[Zone]]&amp;"_additional",Sheet1[#Headers],0))</f>
        <v>44.8</v>
      </c>
      <c r="M31" s="1">
        <f>(Table1[[#This Row],[Weight slab]]-0.5)/0.5</f>
        <v>0</v>
      </c>
      <c r="N31" s="1">
        <f>Table1[[#This Row],[Fixed_Charges]]+Table1[[#This Row],[No_of_Extra_slabs]]*Table1[[#This Row],[Additional_Charges]]</f>
        <v>45.4</v>
      </c>
      <c r="O31">
        <f>_xlfn.XLOOKUP(Table1[[#This Row],[OrderID]],'Courier company invoice'!B:B,'Courier company invoice'!H:H)</f>
        <v>45.4</v>
      </c>
      <c r="P31" s="1">
        <f>Table1[[#This Row],[Billing Amount]]-Table1[[#This Row],[Expected charges]]</f>
        <v>0</v>
      </c>
      <c r="Q31" s="1" t="str" cm="1">
        <f t="array" ref="Q3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32" spans="1:17" x14ac:dyDescent="0.3">
      <c r="A32" s="3" t="s">
        <v>12</v>
      </c>
      <c r="B32" s="2">
        <f>Table1[[#This Row],[Order ID]]*1</f>
        <v>2001821284</v>
      </c>
      <c r="C32" s="2">
        <v>8904223819024</v>
      </c>
      <c r="D32">
        <v>1</v>
      </c>
      <c r="E32">
        <f>_xlfn.XLOOKUP(Table1[[#This Row],[SKU (Product Code)]],'SKU Master'!A:A,'SKU Master'!B:B)</f>
        <v>112</v>
      </c>
      <c r="F32">
        <f>Table1[[#This Row],[Product weight]]*Table1[[#This Row],[Order Qty]]</f>
        <v>112</v>
      </c>
      <c r="G32">
        <f>Table1[[#This Row],[Weight per order (g)]]/1000</f>
        <v>0.112</v>
      </c>
      <c r="H32" s="1">
        <f>CEILING(Table1[[#This Row],[Weight per order (Kg)]],0.5)</f>
        <v>0.5</v>
      </c>
      <c r="I32" t="str">
        <f>_xlfn.XLOOKUP(Table1[[#This Row],[OrderID]],'Courier company invoice'!B:B,'Courier company invoice'!F:F)</f>
        <v>d</v>
      </c>
      <c r="J32" s="1" t="str">
        <f>_xlfn.XLOOKUP(Table1[[#This Row],[OrderID]],Table2[Order ID],Table2[Type of Shipment],"Not Found")</f>
        <v>Forward charges</v>
      </c>
      <c r="K32">
        <f>INDEX(Sheet1[],1,MATCH("fwd_"&amp;Table1[[#This Row],[Zone]]&amp;"_fixed",Sheet1[#Headers],0))</f>
        <v>45.4</v>
      </c>
      <c r="L32">
        <f>INDEX(Sheet1[],1,MATCH("fwd_"&amp;Table1[[#This Row],[Zone]]&amp;"_additional",Sheet1[#Headers],0))</f>
        <v>44.8</v>
      </c>
      <c r="M32" s="1">
        <f>(Table1[[#This Row],[Weight slab]]-0.5)/0.5</f>
        <v>0</v>
      </c>
      <c r="N32" s="1">
        <f>Table1[[#This Row],[Fixed_Charges]]+Table1[[#This Row],[No_of_Extra_slabs]]*Table1[[#This Row],[Additional_Charges]]</f>
        <v>45.4</v>
      </c>
      <c r="O32">
        <f>_xlfn.XLOOKUP(Table1[[#This Row],[OrderID]],'Courier company invoice'!B:B,'Courier company invoice'!H:H)</f>
        <v>45.4</v>
      </c>
      <c r="P32" s="1">
        <f>Table1[[#This Row],[Billing Amount]]-Table1[[#This Row],[Expected charges]]</f>
        <v>0</v>
      </c>
      <c r="Q32" s="1" t="str" cm="1">
        <f t="array" ref="Q3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33" spans="1:17" x14ac:dyDescent="0.3">
      <c r="A33" s="3" t="s">
        <v>13</v>
      </c>
      <c r="B33" s="2">
        <f>Table1[[#This Row],[Order ID]]*1</f>
        <v>2001821190</v>
      </c>
      <c r="C33" s="2">
        <v>8904223819321</v>
      </c>
      <c r="D33">
        <v>1</v>
      </c>
      <c r="E33">
        <f>_xlfn.XLOOKUP(Table1[[#This Row],[SKU (Product Code)]],'SKU Master'!A:A,'SKU Master'!B:B)</f>
        <v>600</v>
      </c>
      <c r="F33">
        <f>Table1[[#This Row],[Product weight]]*Table1[[#This Row],[Order Qty]]</f>
        <v>600</v>
      </c>
      <c r="G33">
        <f>Table1[[#This Row],[Weight per order (g)]]/1000</f>
        <v>0.6</v>
      </c>
      <c r="H33" s="1">
        <f>CEILING(Table1[[#This Row],[Weight per order (Kg)]],0.5)</f>
        <v>1</v>
      </c>
      <c r="I33" t="str">
        <f>_xlfn.XLOOKUP(Table1[[#This Row],[OrderID]],'Courier company invoice'!B:B,'Courier company invoice'!F:F)</f>
        <v>d</v>
      </c>
      <c r="J33" s="1" t="str">
        <f>_xlfn.XLOOKUP(Table1[[#This Row],[OrderID]],Table2[Order ID],Table2[Type of Shipment],"Not Found")</f>
        <v>Forward and RTO charges</v>
      </c>
      <c r="K33">
        <f>INDEX(Sheet1[],1,MATCH("fwd_"&amp;Table1[[#This Row],[Zone]]&amp;"_fixed",Sheet1[#Headers],0))</f>
        <v>45.4</v>
      </c>
      <c r="L33">
        <f>INDEX(Sheet1[],1,MATCH("fwd_"&amp;Table1[[#This Row],[Zone]]&amp;"_additional",Sheet1[#Headers],0))</f>
        <v>44.8</v>
      </c>
      <c r="M33" s="1">
        <f>(Table1[[#This Row],[Weight slab]]-0.5)/0.5</f>
        <v>1</v>
      </c>
      <c r="N33" s="1">
        <f>Table1[[#This Row],[Fixed_Charges]]+Table1[[#This Row],[No_of_Extra_slabs]]*Table1[[#This Row],[Additional_Charges]]</f>
        <v>90.199999999999989</v>
      </c>
      <c r="O33">
        <f>_xlfn.XLOOKUP(Table1[[#This Row],[OrderID]],'Courier company invoice'!B:B,'Courier company invoice'!H:H)</f>
        <v>258.89999999999998</v>
      </c>
      <c r="P33" s="1">
        <f>Table1[[#This Row],[Billing Amount]]-Table1[[#This Row],[Expected charges]]</f>
        <v>168.7</v>
      </c>
      <c r="Q33" s="1" t="str" cm="1">
        <f t="array" ref="Q3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4" spans="1:17" x14ac:dyDescent="0.3">
      <c r="A34" s="3" t="s">
        <v>13</v>
      </c>
      <c r="B34" s="2">
        <f>Table1[[#This Row],[Order ID]]*1</f>
        <v>2001821190</v>
      </c>
      <c r="C34" s="2">
        <v>8904223819338</v>
      </c>
      <c r="D34">
        <v>1</v>
      </c>
      <c r="E34">
        <f>_xlfn.XLOOKUP(Table1[[#This Row],[SKU (Product Code)]],'SKU Master'!A:A,'SKU Master'!B:B)</f>
        <v>600</v>
      </c>
      <c r="F34">
        <f>Table1[[#This Row],[Product weight]]*Table1[[#This Row],[Order Qty]]</f>
        <v>600</v>
      </c>
      <c r="G34">
        <f>Table1[[#This Row],[Weight per order (g)]]/1000</f>
        <v>0.6</v>
      </c>
      <c r="H34" s="1">
        <f>CEILING(Table1[[#This Row],[Weight per order (Kg)]],0.5)</f>
        <v>1</v>
      </c>
      <c r="I34" t="str">
        <f>_xlfn.XLOOKUP(Table1[[#This Row],[OrderID]],'Courier company invoice'!B:B,'Courier company invoice'!F:F)</f>
        <v>d</v>
      </c>
      <c r="J34" s="1" t="str">
        <f>_xlfn.XLOOKUP(Table1[[#This Row],[OrderID]],Table2[Order ID],Table2[Type of Shipment],"Not Found")</f>
        <v>Forward and RTO charges</v>
      </c>
      <c r="K34">
        <f>INDEX(Sheet1[],1,MATCH("fwd_"&amp;Table1[[#This Row],[Zone]]&amp;"_fixed",Sheet1[#Headers],0))</f>
        <v>45.4</v>
      </c>
      <c r="L34">
        <f>INDEX(Sheet1[],1,MATCH("fwd_"&amp;Table1[[#This Row],[Zone]]&amp;"_additional",Sheet1[#Headers],0))</f>
        <v>44.8</v>
      </c>
      <c r="M34" s="1">
        <f>(Table1[[#This Row],[Weight slab]]-0.5)/0.5</f>
        <v>1</v>
      </c>
      <c r="N34" s="1">
        <f>Table1[[#This Row],[Fixed_Charges]]+Table1[[#This Row],[No_of_Extra_slabs]]*Table1[[#This Row],[Additional_Charges]]</f>
        <v>90.199999999999989</v>
      </c>
      <c r="O34">
        <f>_xlfn.XLOOKUP(Table1[[#This Row],[OrderID]],'Courier company invoice'!B:B,'Courier company invoice'!H:H)</f>
        <v>258.89999999999998</v>
      </c>
      <c r="P34" s="1">
        <f>Table1[[#This Row],[Billing Amount]]-Table1[[#This Row],[Expected charges]]</f>
        <v>168.7</v>
      </c>
      <c r="Q34" s="1" t="str" cm="1">
        <f t="array" ref="Q3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5" spans="1:17" x14ac:dyDescent="0.3">
      <c r="A35" s="3" t="s">
        <v>14</v>
      </c>
      <c r="B35" s="2">
        <f>Table1[[#This Row],[Order ID]]*1</f>
        <v>2001821185</v>
      </c>
      <c r="C35" s="2">
        <v>8904223818942</v>
      </c>
      <c r="D35">
        <v>2</v>
      </c>
      <c r="E35">
        <f>_xlfn.XLOOKUP(Table1[[#This Row],[SKU (Product Code)]],'SKU Master'!A:A,'SKU Master'!B:B)</f>
        <v>133</v>
      </c>
      <c r="F35">
        <f>Table1[[#This Row],[Product weight]]*Table1[[#This Row],[Order Qty]]</f>
        <v>266</v>
      </c>
      <c r="G35">
        <f>Table1[[#This Row],[Weight per order (g)]]/1000</f>
        <v>0.26600000000000001</v>
      </c>
      <c r="H35" s="1">
        <f>CEILING(Table1[[#This Row],[Weight per order (Kg)]],0.5)</f>
        <v>0.5</v>
      </c>
      <c r="I35" t="str">
        <f>_xlfn.XLOOKUP(Table1[[#This Row],[OrderID]],'Courier company invoice'!B:B,'Courier company invoice'!F:F)</f>
        <v>d</v>
      </c>
      <c r="J35" s="1" t="str">
        <f>_xlfn.XLOOKUP(Table1[[#This Row],[OrderID]],Table2[Order ID],Table2[Type of Shipment],"Not Found")</f>
        <v>Forward charges</v>
      </c>
      <c r="K35">
        <f>INDEX(Sheet1[],1,MATCH("fwd_"&amp;Table1[[#This Row],[Zone]]&amp;"_fixed",Sheet1[#Headers],0))</f>
        <v>45.4</v>
      </c>
      <c r="L35">
        <f>INDEX(Sheet1[],1,MATCH("fwd_"&amp;Table1[[#This Row],[Zone]]&amp;"_additional",Sheet1[#Headers],0))</f>
        <v>44.8</v>
      </c>
      <c r="M35" s="1">
        <f>(Table1[[#This Row],[Weight slab]]-0.5)/0.5</f>
        <v>0</v>
      </c>
      <c r="N35" s="1">
        <f>Table1[[#This Row],[Fixed_Charges]]+Table1[[#This Row],[No_of_Extra_slabs]]*Table1[[#This Row],[Additional_Charges]]</f>
        <v>45.4</v>
      </c>
      <c r="O35">
        <f>_xlfn.XLOOKUP(Table1[[#This Row],[OrderID]],'Courier company invoice'!B:B,'Courier company invoice'!H:H)</f>
        <v>224.6</v>
      </c>
      <c r="P35" s="1">
        <f>Table1[[#This Row],[Billing Amount]]-Table1[[#This Row],[Expected charges]]</f>
        <v>179.2</v>
      </c>
      <c r="Q35" s="1" t="str" cm="1">
        <f t="array" ref="Q3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6" spans="1:17" x14ac:dyDescent="0.3">
      <c r="A36" s="3" t="s">
        <v>14</v>
      </c>
      <c r="B36" s="2">
        <f>Table1[[#This Row],[Order ID]]*1</f>
        <v>2001821185</v>
      </c>
      <c r="C36" s="2">
        <v>8904223818683</v>
      </c>
      <c r="D36">
        <v>2</v>
      </c>
      <c r="E36">
        <f>_xlfn.XLOOKUP(Table1[[#This Row],[SKU (Product Code)]],'SKU Master'!A:A,'SKU Master'!B:B)</f>
        <v>121</v>
      </c>
      <c r="F36">
        <f>Table1[[#This Row],[Product weight]]*Table1[[#This Row],[Order Qty]]</f>
        <v>242</v>
      </c>
      <c r="G36">
        <f>Table1[[#This Row],[Weight per order (g)]]/1000</f>
        <v>0.24199999999999999</v>
      </c>
      <c r="H36" s="1">
        <f>CEILING(Table1[[#This Row],[Weight per order (Kg)]],0.5)</f>
        <v>0.5</v>
      </c>
      <c r="I36" t="str">
        <f>_xlfn.XLOOKUP(Table1[[#This Row],[OrderID]],'Courier company invoice'!B:B,'Courier company invoice'!F:F)</f>
        <v>d</v>
      </c>
      <c r="J36" s="1" t="str">
        <f>_xlfn.XLOOKUP(Table1[[#This Row],[OrderID]],Table2[Order ID],Table2[Type of Shipment],"Not Found")</f>
        <v>Forward charges</v>
      </c>
      <c r="K36">
        <f>INDEX(Sheet1[],1,MATCH("fwd_"&amp;Table1[[#This Row],[Zone]]&amp;"_fixed",Sheet1[#Headers],0))</f>
        <v>45.4</v>
      </c>
      <c r="L36">
        <f>INDEX(Sheet1[],1,MATCH("fwd_"&amp;Table1[[#This Row],[Zone]]&amp;"_additional",Sheet1[#Headers],0))</f>
        <v>44.8</v>
      </c>
      <c r="M36" s="1">
        <f>(Table1[[#This Row],[Weight slab]]-0.5)/0.5</f>
        <v>0</v>
      </c>
      <c r="N36" s="1">
        <f>Table1[[#This Row],[Fixed_Charges]]+Table1[[#This Row],[No_of_Extra_slabs]]*Table1[[#This Row],[Additional_Charges]]</f>
        <v>45.4</v>
      </c>
      <c r="O36">
        <f>_xlfn.XLOOKUP(Table1[[#This Row],[OrderID]],'Courier company invoice'!B:B,'Courier company invoice'!H:H)</f>
        <v>224.6</v>
      </c>
      <c r="P36" s="1">
        <f>Table1[[#This Row],[Billing Amount]]-Table1[[#This Row],[Expected charges]]</f>
        <v>179.2</v>
      </c>
      <c r="Q36" s="1" t="str" cm="1">
        <f t="array" ref="Q3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7" spans="1:17" x14ac:dyDescent="0.3">
      <c r="A37" s="3" t="s">
        <v>14</v>
      </c>
      <c r="B37" s="2">
        <f>Table1[[#This Row],[Order ID]]*1</f>
        <v>2001821185</v>
      </c>
      <c r="C37" s="2">
        <v>8904223819239</v>
      </c>
      <c r="D37">
        <v>1</v>
      </c>
      <c r="E37">
        <f>_xlfn.XLOOKUP(Table1[[#This Row],[SKU (Product Code)]],'SKU Master'!A:A,'SKU Master'!B:B)</f>
        <v>290</v>
      </c>
      <c r="F37">
        <f>Table1[[#This Row],[Product weight]]*Table1[[#This Row],[Order Qty]]</f>
        <v>290</v>
      </c>
      <c r="G37">
        <f>Table1[[#This Row],[Weight per order (g)]]/1000</f>
        <v>0.28999999999999998</v>
      </c>
      <c r="H37" s="1">
        <f>CEILING(Table1[[#This Row],[Weight per order (Kg)]],0.5)</f>
        <v>0.5</v>
      </c>
      <c r="I37" t="str">
        <f>_xlfn.XLOOKUP(Table1[[#This Row],[OrderID]],'Courier company invoice'!B:B,'Courier company invoice'!F:F)</f>
        <v>d</v>
      </c>
      <c r="J37" s="1" t="str">
        <f>_xlfn.XLOOKUP(Table1[[#This Row],[OrderID]],Table2[Order ID],Table2[Type of Shipment],"Not Found")</f>
        <v>Forward charges</v>
      </c>
      <c r="K37">
        <f>INDEX(Sheet1[],1,MATCH("fwd_"&amp;Table1[[#This Row],[Zone]]&amp;"_fixed",Sheet1[#Headers],0))</f>
        <v>45.4</v>
      </c>
      <c r="L37">
        <f>INDEX(Sheet1[],1,MATCH("fwd_"&amp;Table1[[#This Row],[Zone]]&amp;"_additional",Sheet1[#Headers],0))</f>
        <v>44.8</v>
      </c>
      <c r="M37" s="1">
        <f>(Table1[[#This Row],[Weight slab]]-0.5)/0.5</f>
        <v>0</v>
      </c>
      <c r="N37" s="1">
        <f>Table1[[#This Row],[Fixed_Charges]]+Table1[[#This Row],[No_of_Extra_slabs]]*Table1[[#This Row],[Additional_Charges]]</f>
        <v>45.4</v>
      </c>
      <c r="O37">
        <f>_xlfn.XLOOKUP(Table1[[#This Row],[OrderID]],'Courier company invoice'!B:B,'Courier company invoice'!H:H)</f>
        <v>224.6</v>
      </c>
      <c r="P37" s="1">
        <f>Table1[[#This Row],[Billing Amount]]-Table1[[#This Row],[Expected charges]]</f>
        <v>179.2</v>
      </c>
      <c r="Q37" s="1" t="str" cm="1">
        <f t="array" ref="Q3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8" spans="1:17" x14ac:dyDescent="0.3">
      <c r="A38" s="3" t="s">
        <v>14</v>
      </c>
      <c r="B38" s="2">
        <f>Table1[[#This Row],[Order ID]]*1</f>
        <v>2001821185</v>
      </c>
      <c r="C38" s="2">
        <v>8904223819246</v>
      </c>
      <c r="D38">
        <v>1</v>
      </c>
      <c r="E38">
        <f>_xlfn.XLOOKUP(Table1[[#This Row],[SKU (Product Code)]],'SKU Master'!A:A,'SKU Master'!B:B)</f>
        <v>290</v>
      </c>
      <c r="F38">
        <f>Table1[[#This Row],[Product weight]]*Table1[[#This Row],[Order Qty]]</f>
        <v>290</v>
      </c>
      <c r="G38">
        <f>Table1[[#This Row],[Weight per order (g)]]/1000</f>
        <v>0.28999999999999998</v>
      </c>
      <c r="H38" s="1">
        <f>CEILING(Table1[[#This Row],[Weight per order (Kg)]],0.5)</f>
        <v>0.5</v>
      </c>
      <c r="I38" t="str">
        <f>_xlfn.XLOOKUP(Table1[[#This Row],[OrderID]],'Courier company invoice'!B:B,'Courier company invoice'!F:F)</f>
        <v>d</v>
      </c>
      <c r="J38" s="1" t="str">
        <f>_xlfn.XLOOKUP(Table1[[#This Row],[OrderID]],Table2[Order ID],Table2[Type of Shipment],"Not Found")</f>
        <v>Forward charges</v>
      </c>
      <c r="K38">
        <f>INDEX(Sheet1[],1,MATCH("fwd_"&amp;Table1[[#This Row],[Zone]]&amp;"_fixed",Sheet1[#Headers],0))</f>
        <v>45.4</v>
      </c>
      <c r="L38">
        <f>INDEX(Sheet1[],1,MATCH("fwd_"&amp;Table1[[#This Row],[Zone]]&amp;"_additional",Sheet1[#Headers],0))</f>
        <v>44.8</v>
      </c>
      <c r="M38" s="1">
        <f>(Table1[[#This Row],[Weight slab]]-0.5)/0.5</f>
        <v>0</v>
      </c>
      <c r="N38" s="1">
        <f>Table1[[#This Row],[Fixed_Charges]]+Table1[[#This Row],[No_of_Extra_slabs]]*Table1[[#This Row],[Additional_Charges]]</f>
        <v>45.4</v>
      </c>
      <c r="O38">
        <f>_xlfn.XLOOKUP(Table1[[#This Row],[OrderID]],'Courier company invoice'!B:B,'Courier company invoice'!H:H)</f>
        <v>224.6</v>
      </c>
      <c r="P38" s="1">
        <f>Table1[[#This Row],[Billing Amount]]-Table1[[#This Row],[Expected charges]]</f>
        <v>179.2</v>
      </c>
      <c r="Q38" s="1" t="str" cm="1">
        <f t="array" ref="Q3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9" spans="1:17" x14ac:dyDescent="0.3">
      <c r="A39" s="3" t="s">
        <v>14</v>
      </c>
      <c r="B39" s="2">
        <f>Table1[[#This Row],[Order ID]]*1</f>
        <v>2001821185</v>
      </c>
      <c r="C39" s="2">
        <v>8904223819253</v>
      </c>
      <c r="D39">
        <v>1</v>
      </c>
      <c r="E39">
        <f>_xlfn.XLOOKUP(Table1[[#This Row],[SKU (Product Code)]],'SKU Master'!A:A,'SKU Master'!B:B)</f>
        <v>290</v>
      </c>
      <c r="F39">
        <f>Table1[[#This Row],[Product weight]]*Table1[[#This Row],[Order Qty]]</f>
        <v>290</v>
      </c>
      <c r="G39">
        <f>Table1[[#This Row],[Weight per order (g)]]/1000</f>
        <v>0.28999999999999998</v>
      </c>
      <c r="H39" s="1">
        <f>CEILING(Table1[[#This Row],[Weight per order (Kg)]],0.5)</f>
        <v>0.5</v>
      </c>
      <c r="I39" t="str">
        <f>_xlfn.XLOOKUP(Table1[[#This Row],[OrderID]],'Courier company invoice'!B:B,'Courier company invoice'!F:F)</f>
        <v>d</v>
      </c>
      <c r="J39" s="1" t="str">
        <f>_xlfn.XLOOKUP(Table1[[#This Row],[OrderID]],Table2[Order ID],Table2[Type of Shipment],"Not Found")</f>
        <v>Forward charges</v>
      </c>
      <c r="K39">
        <f>INDEX(Sheet1[],1,MATCH("fwd_"&amp;Table1[[#This Row],[Zone]]&amp;"_fixed",Sheet1[#Headers],0))</f>
        <v>45.4</v>
      </c>
      <c r="L39">
        <f>INDEX(Sheet1[],1,MATCH("fwd_"&amp;Table1[[#This Row],[Zone]]&amp;"_additional",Sheet1[#Headers],0))</f>
        <v>44.8</v>
      </c>
      <c r="M39" s="1">
        <f>(Table1[[#This Row],[Weight slab]]-0.5)/0.5</f>
        <v>0</v>
      </c>
      <c r="N39" s="1">
        <f>Table1[[#This Row],[Fixed_Charges]]+Table1[[#This Row],[No_of_Extra_slabs]]*Table1[[#This Row],[Additional_Charges]]</f>
        <v>45.4</v>
      </c>
      <c r="O39">
        <f>_xlfn.XLOOKUP(Table1[[#This Row],[OrderID]],'Courier company invoice'!B:B,'Courier company invoice'!H:H)</f>
        <v>224.6</v>
      </c>
      <c r="P39" s="1">
        <f>Table1[[#This Row],[Billing Amount]]-Table1[[#This Row],[Expected charges]]</f>
        <v>179.2</v>
      </c>
      <c r="Q39" s="1" t="str" cm="1">
        <f t="array" ref="Q3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40" spans="1:17" x14ac:dyDescent="0.3">
      <c r="A40" s="3" t="s">
        <v>14</v>
      </c>
      <c r="B40" s="2">
        <f>Table1[[#This Row],[Order ID]]*1</f>
        <v>2001821185</v>
      </c>
      <c r="C40" s="2">
        <v>8904223818669</v>
      </c>
      <c r="D40">
        <v>1</v>
      </c>
      <c r="E40">
        <f>_xlfn.XLOOKUP(Table1[[#This Row],[SKU (Product Code)]],'SKU Master'!A:A,'SKU Master'!B:B)</f>
        <v>240</v>
      </c>
      <c r="F40">
        <f>Table1[[#This Row],[Product weight]]*Table1[[#This Row],[Order Qty]]</f>
        <v>240</v>
      </c>
      <c r="G40">
        <f>Table1[[#This Row],[Weight per order (g)]]/1000</f>
        <v>0.24</v>
      </c>
      <c r="H40" s="1">
        <f>CEILING(Table1[[#This Row],[Weight per order (Kg)]],0.5)</f>
        <v>0.5</v>
      </c>
      <c r="I40" t="str">
        <f>_xlfn.XLOOKUP(Table1[[#This Row],[OrderID]],'Courier company invoice'!B:B,'Courier company invoice'!F:F)</f>
        <v>d</v>
      </c>
      <c r="J40" s="1" t="str">
        <f>_xlfn.XLOOKUP(Table1[[#This Row],[OrderID]],Table2[Order ID],Table2[Type of Shipment],"Not Found")</f>
        <v>Forward charges</v>
      </c>
      <c r="K40">
        <f>INDEX(Sheet1[],1,MATCH("fwd_"&amp;Table1[[#This Row],[Zone]]&amp;"_fixed",Sheet1[#Headers],0))</f>
        <v>45.4</v>
      </c>
      <c r="L40">
        <f>INDEX(Sheet1[],1,MATCH("fwd_"&amp;Table1[[#This Row],[Zone]]&amp;"_additional",Sheet1[#Headers],0))</f>
        <v>44.8</v>
      </c>
      <c r="M40" s="1">
        <f>(Table1[[#This Row],[Weight slab]]-0.5)/0.5</f>
        <v>0</v>
      </c>
      <c r="N40" s="1">
        <f>Table1[[#This Row],[Fixed_Charges]]+Table1[[#This Row],[No_of_Extra_slabs]]*Table1[[#This Row],[Additional_Charges]]</f>
        <v>45.4</v>
      </c>
      <c r="O40">
        <f>_xlfn.XLOOKUP(Table1[[#This Row],[OrderID]],'Courier company invoice'!B:B,'Courier company invoice'!H:H)</f>
        <v>224.6</v>
      </c>
      <c r="P40" s="1">
        <f>Table1[[#This Row],[Billing Amount]]-Table1[[#This Row],[Expected charges]]</f>
        <v>179.2</v>
      </c>
      <c r="Q40" s="1" t="str" cm="1">
        <f t="array" ref="Q4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41" spans="1:17" x14ac:dyDescent="0.3">
      <c r="A41" s="3" t="s">
        <v>14</v>
      </c>
      <c r="B41" s="2">
        <f>Table1[[#This Row],[Order ID]]*1</f>
        <v>2001821185</v>
      </c>
      <c r="C41" s="2">
        <v>8904223819147</v>
      </c>
      <c r="D41">
        <v>1</v>
      </c>
      <c r="E41">
        <f>_xlfn.XLOOKUP(Table1[[#This Row],[SKU (Product Code)]],'SKU Master'!A:A,'SKU Master'!B:B)</f>
        <v>240</v>
      </c>
      <c r="F41">
        <f>Table1[[#This Row],[Product weight]]*Table1[[#This Row],[Order Qty]]</f>
        <v>240</v>
      </c>
      <c r="G41">
        <f>Table1[[#This Row],[Weight per order (g)]]/1000</f>
        <v>0.24</v>
      </c>
      <c r="H41" s="1">
        <f>CEILING(Table1[[#This Row],[Weight per order (Kg)]],0.5)</f>
        <v>0.5</v>
      </c>
      <c r="I41" t="str">
        <f>_xlfn.XLOOKUP(Table1[[#This Row],[OrderID]],'Courier company invoice'!B:B,'Courier company invoice'!F:F)</f>
        <v>d</v>
      </c>
      <c r="J41" s="1" t="str">
        <f>_xlfn.XLOOKUP(Table1[[#This Row],[OrderID]],Table2[Order ID],Table2[Type of Shipment],"Not Found")</f>
        <v>Forward charges</v>
      </c>
      <c r="K41">
        <f>INDEX(Sheet1[],1,MATCH("fwd_"&amp;Table1[[#This Row],[Zone]]&amp;"_fixed",Sheet1[#Headers],0))</f>
        <v>45.4</v>
      </c>
      <c r="L41">
        <f>INDEX(Sheet1[],1,MATCH("fwd_"&amp;Table1[[#This Row],[Zone]]&amp;"_additional",Sheet1[#Headers],0))</f>
        <v>44.8</v>
      </c>
      <c r="M41" s="1">
        <f>(Table1[[#This Row],[Weight slab]]-0.5)/0.5</f>
        <v>0</v>
      </c>
      <c r="N41" s="1">
        <f>Table1[[#This Row],[Fixed_Charges]]+Table1[[#This Row],[No_of_Extra_slabs]]*Table1[[#This Row],[Additional_Charges]]</f>
        <v>45.4</v>
      </c>
      <c r="O41">
        <f>_xlfn.XLOOKUP(Table1[[#This Row],[OrderID]],'Courier company invoice'!B:B,'Courier company invoice'!H:H)</f>
        <v>224.6</v>
      </c>
      <c r="P41" s="1">
        <f>Table1[[#This Row],[Billing Amount]]-Table1[[#This Row],[Expected charges]]</f>
        <v>179.2</v>
      </c>
      <c r="Q41" s="1" t="str" cm="1">
        <f t="array" ref="Q4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42" spans="1:17" x14ac:dyDescent="0.3">
      <c r="A42" s="3" t="s">
        <v>14</v>
      </c>
      <c r="B42" s="2">
        <f>Table1[[#This Row],[Order ID]]*1</f>
        <v>2001821185</v>
      </c>
      <c r="C42" s="2">
        <v>8904223818850</v>
      </c>
      <c r="D42">
        <v>1</v>
      </c>
      <c r="E42">
        <f>_xlfn.XLOOKUP(Table1[[#This Row],[SKU (Product Code)]],'SKU Master'!A:A,'SKU Master'!B:B)</f>
        <v>240</v>
      </c>
      <c r="F42">
        <f>Table1[[#This Row],[Product weight]]*Table1[[#This Row],[Order Qty]]</f>
        <v>240</v>
      </c>
      <c r="G42">
        <f>Table1[[#This Row],[Weight per order (g)]]/1000</f>
        <v>0.24</v>
      </c>
      <c r="H42" s="1">
        <f>CEILING(Table1[[#This Row],[Weight per order (Kg)]],0.5)</f>
        <v>0.5</v>
      </c>
      <c r="I42" t="str">
        <f>_xlfn.XLOOKUP(Table1[[#This Row],[OrderID]],'Courier company invoice'!B:B,'Courier company invoice'!F:F)</f>
        <v>d</v>
      </c>
      <c r="J42" s="1" t="str">
        <f>_xlfn.XLOOKUP(Table1[[#This Row],[OrderID]],Table2[Order ID],Table2[Type of Shipment],"Not Found")</f>
        <v>Forward charges</v>
      </c>
      <c r="K42">
        <f>INDEX(Sheet1[],1,MATCH("fwd_"&amp;Table1[[#This Row],[Zone]]&amp;"_fixed",Sheet1[#Headers],0))</f>
        <v>45.4</v>
      </c>
      <c r="L42">
        <f>INDEX(Sheet1[],1,MATCH("fwd_"&amp;Table1[[#This Row],[Zone]]&amp;"_additional",Sheet1[#Headers],0))</f>
        <v>44.8</v>
      </c>
      <c r="M42" s="1">
        <f>(Table1[[#This Row],[Weight slab]]-0.5)/0.5</f>
        <v>0</v>
      </c>
      <c r="N42" s="1">
        <f>Table1[[#This Row],[Fixed_Charges]]+Table1[[#This Row],[No_of_Extra_slabs]]*Table1[[#This Row],[Additional_Charges]]</f>
        <v>45.4</v>
      </c>
      <c r="O42">
        <f>_xlfn.XLOOKUP(Table1[[#This Row],[OrderID]],'Courier company invoice'!B:B,'Courier company invoice'!H:H)</f>
        <v>224.6</v>
      </c>
      <c r="P42" s="1">
        <f>Table1[[#This Row],[Billing Amount]]-Table1[[#This Row],[Expected charges]]</f>
        <v>179.2</v>
      </c>
      <c r="Q42" s="1" t="str" cm="1">
        <f t="array" ref="Q4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43" spans="1:17" x14ac:dyDescent="0.3">
      <c r="A43" s="3" t="s">
        <v>15</v>
      </c>
      <c r="B43" s="2">
        <f>Table1[[#This Row],[Order ID]]*1</f>
        <v>2001820978</v>
      </c>
      <c r="C43" s="2">
        <v>8904223815859</v>
      </c>
      <c r="D43">
        <v>1</v>
      </c>
      <c r="E43">
        <f>_xlfn.XLOOKUP(Table1[[#This Row],[SKU (Product Code)]],'SKU Master'!A:A,'SKU Master'!B:B)</f>
        <v>165</v>
      </c>
      <c r="F43">
        <f>Table1[[#This Row],[Product weight]]*Table1[[#This Row],[Order Qty]]</f>
        <v>165</v>
      </c>
      <c r="G43">
        <f>Table1[[#This Row],[Weight per order (g)]]/1000</f>
        <v>0.16500000000000001</v>
      </c>
      <c r="H43" s="1">
        <f>CEILING(Table1[[#This Row],[Weight per order (Kg)]],0.5)</f>
        <v>0.5</v>
      </c>
      <c r="I43" t="str">
        <f>_xlfn.XLOOKUP(Table1[[#This Row],[OrderID]],'Courier company invoice'!B:B,'Courier company invoice'!F:F)</f>
        <v>d</v>
      </c>
      <c r="J43" s="1" t="str">
        <f>_xlfn.XLOOKUP(Table1[[#This Row],[OrderID]],Table2[Order ID],Table2[Type of Shipment],"Not Found")</f>
        <v>Forward charges</v>
      </c>
      <c r="K43">
        <f>INDEX(Sheet1[],1,MATCH("fwd_"&amp;Table1[[#This Row],[Zone]]&amp;"_fixed",Sheet1[#Headers],0))</f>
        <v>45.4</v>
      </c>
      <c r="L43">
        <f>INDEX(Sheet1[],1,MATCH("fwd_"&amp;Table1[[#This Row],[Zone]]&amp;"_additional",Sheet1[#Headers],0))</f>
        <v>44.8</v>
      </c>
      <c r="M43" s="1">
        <f>(Table1[[#This Row],[Weight slab]]-0.5)/0.5</f>
        <v>0</v>
      </c>
      <c r="N43" s="1">
        <f>Table1[[#This Row],[Fixed_Charges]]+Table1[[#This Row],[No_of_Extra_slabs]]*Table1[[#This Row],[Additional_Charges]]</f>
        <v>45.4</v>
      </c>
      <c r="O43">
        <f>_xlfn.XLOOKUP(Table1[[#This Row],[OrderID]],'Courier company invoice'!B:B,'Courier company invoice'!H:H)</f>
        <v>45.4</v>
      </c>
      <c r="P43" s="1">
        <f>Table1[[#This Row],[Billing Amount]]-Table1[[#This Row],[Expected charges]]</f>
        <v>0</v>
      </c>
      <c r="Q43" s="1" t="str" cm="1">
        <f t="array" ref="Q4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44" spans="1:17" x14ac:dyDescent="0.3">
      <c r="A44" s="3" t="s">
        <v>15</v>
      </c>
      <c r="B44" s="2">
        <f>Table1[[#This Row],[Order ID]]*1</f>
        <v>2001820978</v>
      </c>
      <c r="C44" s="2">
        <v>8904223817501</v>
      </c>
      <c r="D44">
        <v>1</v>
      </c>
      <c r="E44">
        <f>_xlfn.XLOOKUP(Table1[[#This Row],[SKU (Product Code)]],'SKU Master'!A:A,'SKU Master'!B:B)</f>
        <v>350</v>
      </c>
      <c r="F44">
        <f>Table1[[#This Row],[Product weight]]*Table1[[#This Row],[Order Qty]]</f>
        <v>350</v>
      </c>
      <c r="G44">
        <f>Table1[[#This Row],[Weight per order (g)]]/1000</f>
        <v>0.35</v>
      </c>
      <c r="H44" s="1">
        <f>CEILING(Table1[[#This Row],[Weight per order (Kg)]],0.5)</f>
        <v>0.5</v>
      </c>
      <c r="I44" t="str">
        <f>_xlfn.XLOOKUP(Table1[[#This Row],[OrderID]],'Courier company invoice'!B:B,'Courier company invoice'!F:F)</f>
        <v>d</v>
      </c>
      <c r="J44" s="1" t="str">
        <f>_xlfn.XLOOKUP(Table1[[#This Row],[OrderID]],Table2[Order ID],Table2[Type of Shipment],"Not Found")</f>
        <v>Forward charges</v>
      </c>
      <c r="K44">
        <f>INDEX(Sheet1[],1,MATCH("fwd_"&amp;Table1[[#This Row],[Zone]]&amp;"_fixed",Sheet1[#Headers],0))</f>
        <v>45.4</v>
      </c>
      <c r="L44">
        <f>INDEX(Sheet1[],1,MATCH("fwd_"&amp;Table1[[#This Row],[Zone]]&amp;"_additional",Sheet1[#Headers],0))</f>
        <v>44.8</v>
      </c>
      <c r="M44" s="1">
        <f>(Table1[[#This Row],[Weight slab]]-0.5)/0.5</f>
        <v>0</v>
      </c>
      <c r="N44" s="1">
        <f>Table1[[#This Row],[Fixed_Charges]]+Table1[[#This Row],[No_of_Extra_slabs]]*Table1[[#This Row],[Additional_Charges]]</f>
        <v>45.4</v>
      </c>
      <c r="O44">
        <f>_xlfn.XLOOKUP(Table1[[#This Row],[OrderID]],'Courier company invoice'!B:B,'Courier company invoice'!H:H)</f>
        <v>45.4</v>
      </c>
      <c r="P44" s="1">
        <f>Table1[[#This Row],[Billing Amount]]-Table1[[#This Row],[Expected charges]]</f>
        <v>0</v>
      </c>
      <c r="Q44" s="1" t="str" cm="1">
        <f t="array" ref="Q4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45" spans="1:17" x14ac:dyDescent="0.3">
      <c r="A45" s="3" t="s">
        <v>16</v>
      </c>
      <c r="B45" s="2">
        <f>Table1[[#This Row],[Order ID]]*1</f>
        <v>2001820690</v>
      </c>
      <c r="C45" s="2">
        <v>8904223817273</v>
      </c>
      <c r="D45">
        <v>1</v>
      </c>
      <c r="E45">
        <f>_xlfn.XLOOKUP(Table1[[#This Row],[SKU (Product Code)]],'SKU Master'!A:A,'SKU Master'!B:B)</f>
        <v>65</v>
      </c>
      <c r="F45">
        <f>Table1[[#This Row],[Product weight]]*Table1[[#This Row],[Order Qty]]</f>
        <v>65</v>
      </c>
      <c r="G45">
        <f>Table1[[#This Row],[Weight per order (g)]]/1000</f>
        <v>6.5000000000000002E-2</v>
      </c>
      <c r="H45" s="1">
        <f>CEILING(Table1[[#This Row],[Weight per order (Kg)]],0.5)</f>
        <v>0.5</v>
      </c>
      <c r="I45" t="str">
        <f>_xlfn.XLOOKUP(Table1[[#This Row],[OrderID]],'Courier company invoice'!B:B,'Courier company invoice'!F:F)</f>
        <v>d</v>
      </c>
      <c r="J45" s="1" t="str">
        <f>_xlfn.XLOOKUP(Table1[[#This Row],[OrderID]],Table2[Order ID],Table2[Type of Shipment],"Not Found")</f>
        <v>Forward charges</v>
      </c>
      <c r="K45">
        <f>INDEX(Sheet1[],1,MATCH("fwd_"&amp;Table1[[#This Row],[Zone]]&amp;"_fixed",Sheet1[#Headers],0))</f>
        <v>45.4</v>
      </c>
      <c r="L45">
        <f>INDEX(Sheet1[],1,MATCH("fwd_"&amp;Table1[[#This Row],[Zone]]&amp;"_additional",Sheet1[#Headers],0))</f>
        <v>44.8</v>
      </c>
      <c r="M45" s="1">
        <f>(Table1[[#This Row],[Weight slab]]-0.5)/0.5</f>
        <v>0</v>
      </c>
      <c r="N45" s="1">
        <f>Table1[[#This Row],[Fixed_Charges]]+Table1[[#This Row],[No_of_Extra_slabs]]*Table1[[#This Row],[Additional_Charges]]</f>
        <v>45.4</v>
      </c>
      <c r="O45">
        <f>_xlfn.XLOOKUP(Table1[[#This Row],[OrderID]],'Courier company invoice'!B:B,'Courier company invoice'!H:H)</f>
        <v>45.4</v>
      </c>
      <c r="P45" s="1">
        <f>Table1[[#This Row],[Billing Amount]]-Table1[[#This Row],[Expected charges]]</f>
        <v>0</v>
      </c>
      <c r="Q45" s="1" t="str" cm="1">
        <f t="array" ref="Q4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46" spans="1:17" x14ac:dyDescent="0.3">
      <c r="A46" s="3" t="s">
        <v>17</v>
      </c>
      <c r="B46" s="2">
        <f>Table1[[#This Row],[Order ID]]*1</f>
        <v>2001819252</v>
      </c>
      <c r="C46" s="2">
        <v>8904223818942</v>
      </c>
      <c r="D46">
        <v>1</v>
      </c>
      <c r="E46">
        <f>_xlfn.XLOOKUP(Table1[[#This Row],[SKU (Product Code)]],'SKU Master'!A:A,'SKU Master'!B:B)</f>
        <v>133</v>
      </c>
      <c r="F46">
        <f>Table1[[#This Row],[Product weight]]*Table1[[#This Row],[Order Qty]]</f>
        <v>133</v>
      </c>
      <c r="G46">
        <f>Table1[[#This Row],[Weight per order (g)]]/1000</f>
        <v>0.13300000000000001</v>
      </c>
      <c r="H46" s="1">
        <f>CEILING(Table1[[#This Row],[Weight per order (Kg)]],0.5)</f>
        <v>0.5</v>
      </c>
      <c r="I46" t="str">
        <f>_xlfn.XLOOKUP(Table1[[#This Row],[OrderID]],'Courier company invoice'!B:B,'Courier company invoice'!F:F)</f>
        <v>b</v>
      </c>
      <c r="J46" s="1" t="str">
        <f>_xlfn.XLOOKUP(Table1[[#This Row],[OrderID]],Table2[Order ID],Table2[Type of Shipment],"Not Found")</f>
        <v>Forward charges</v>
      </c>
      <c r="K46">
        <f>INDEX(Sheet1[],1,MATCH("fwd_"&amp;Table1[[#This Row],[Zone]]&amp;"_fixed",Sheet1[#Headers],0))</f>
        <v>33</v>
      </c>
      <c r="L46">
        <f>INDEX(Sheet1[],1,MATCH("fwd_"&amp;Table1[[#This Row],[Zone]]&amp;"_additional",Sheet1[#Headers],0))</f>
        <v>28.3</v>
      </c>
      <c r="M46" s="1">
        <f>(Table1[[#This Row],[Weight slab]]-0.5)/0.5</f>
        <v>0</v>
      </c>
      <c r="N46" s="1">
        <f>Table1[[#This Row],[Fixed_Charges]]+Table1[[#This Row],[No_of_Extra_slabs]]*Table1[[#This Row],[Additional_Charges]]</f>
        <v>33</v>
      </c>
      <c r="O46">
        <f>_xlfn.XLOOKUP(Table1[[#This Row],[OrderID]],'Courier company invoice'!B:B,'Courier company invoice'!H:H)</f>
        <v>33</v>
      </c>
      <c r="P46" s="1">
        <f>Table1[[#This Row],[Billing Amount]]-Table1[[#This Row],[Expected charges]]</f>
        <v>0</v>
      </c>
      <c r="Q46" s="1" t="str" cm="1">
        <f t="array" ref="Q4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47" spans="1:17" x14ac:dyDescent="0.3">
      <c r="A47" s="3" t="s">
        <v>17</v>
      </c>
      <c r="B47" s="2">
        <f>Table1[[#This Row],[Order ID]]*1</f>
        <v>2001819252</v>
      </c>
      <c r="C47" s="2">
        <v>8904223818706</v>
      </c>
      <c r="D47">
        <v>1</v>
      </c>
      <c r="E47">
        <f>_xlfn.XLOOKUP(Table1[[#This Row],[SKU (Product Code)]],'SKU Master'!A:A,'SKU Master'!B:B)</f>
        <v>127</v>
      </c>
      <c r="F47">
        <f>Table1[[#This Row],[Product weight]]*Table1[[#This Row],[Order Qty]]</f>
        <v>127</v>
      </c>
      <c r="G47">
        <f>Table1[[#This Row],[Weight per order (g)]]/1000</f>
        <v>0.127</v>
      </c>
      <c r="H47" s="1">
        <f>CEILING(Table1[[#This Row],[Weight per order (Kg)]],0.5)</f>
        <v>0.5</v>
      </c>
      <c r="I47" t="str">
        <f>_xlfn.XLOOKUP(Table1[[#This Row],[OrderID]],'Courier company invoice'!B:B,'Courier company invoice'!F:F)</f>
        <v>b</v>
      </c>
      <c r="J47" s="1" t="str">
        <f>_xlfn.XLOOKUP(Table1[[#This Row],[OrderID]],Table2[Order ID],Table2[Type of Shipment],"Not Found")</f>
        <v>Forward charges</v>
      </c>
      <c r="K47">
        <f>INDEX(Sheet1[],1,MATCH("fwd_"&amp;Table1[[#This Row],[Zone]]&amp;"_fixed",Sheet1[#Headers],0))</f>
        <v>33</v>
      </c>
      <c r="L47">
        <f>INDEX(Sheet1[],1,MATCH("fwd_"&amp;Table1[[#This Row],[Zone]]&amp;"_additional",Sheet1[#Headers],0))</f>
        <v>28.3</v>
      </c>
      <c r="M47" s="1">
        <f>(Table1[[#This Row],[Weight slab]]-0.5)/0.5</f>
        <v>0</v>
      </c>
      <c r="N47" s="1">
        <f>Table1[[#This Row],[Fixed_Charges]]+Table1[[#This Row],[No_of_Extra_slabs]]*Table1[[#This Row],[Additional_Charges]]</f>
        <v>33</v>
      </c>
      <c r="O47">
        <f>_xlfn.XLOOKUP(Table1[[#This Row],[OrderID]],'Courier company invoice'!B:B,'Courier company invoice'!H:H)</f>
        <v>33</v>
      </c>
      <c r="P47" s="1">
        <f>Table1[[#This Row],[Billing Amount]]-Table1[[#This Row],[Expected charges]]</f>
        <v>0</v>
      </c>
      <c r="Q47" s="1" t="str" cm="1">
        <f t="array" ref="Q4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48" spans="1:17" x14ac:dyDescent="0.3">
      <c r="A48" s="3" t="s">
        <v>17</v>
      </c>
      <c r="B48" s="2">
        <f>Table1[[#This Row],[Order ID]]*1</f>
        <v>2001819252</v>
      </c>
      <c r="C48" s="2" t="s">
        <v>2</v>
      </c>
      <c r="D48">
        <v>1</v>
      </c>
      <c r="E48">
        <f>_xlfn.XLOOKUP(Table1[[#This Row],[SKU (Product Code)]],'SKU Master'!A:A,'SKU Master'!B:B)</f>
        <v>10</v>
      </c>
      <c r="F48">
        <f>Table1[[#This Row],[Product weight]]*Table1[[#This Row],[Order Qty]]</f>
        <v>10</v>
      </c>
      <c r="G48">
        <f>Table1[[#This Row],[Weight per order (g)]]/1000</f>
        <v>0.01</v>
      </c>
      <c r="H48" s="1">
        <f>CEILING(Table1[[#This Row],[Weight per order (Kg)]],0.5)</f>
        <v>0.5</v>
      </c>
      <c r="I48" t="str">
        <f>_xlfn.XLOOKUP(Table1[[#This Row],[OrderID]],'Courier company invoice'!B:B,'Courier company invoice'!F:F)</f>
        <v>b</v>
      </c>
      <c r="J48" s="1" t="str">
        <f>_xlfn.XLOOKUP(Table1[[#This Row],[OrderID]],Table2[Order ID],Table2[Type of Shipment],"Not Found")</f>
        <v>Forward charges</v>
      </c>
      <c r="K48">
        <f>INDEX(Sheet1[],1,MATCH("fwd_"&amp;Table1[[#This Row],[Zone]]&amp;"_fixed",Sheet1[#Headers],0))</f>
        <v>33</v>
      </c>
      <c r="L48">
        <f>INDEX(Sheet1[],1,MATCH("fwd_"&amp;Table1[[#This Row],[Zone]]&amp;"_additional",Sheet1[#Headers],0))</f>
        <v>28.3</v>
      </c>
      <c r="M48" s="1">
        <f>(Table1[[#This Row],[Weight slab]]-0.5)/0.5</f>
        <v>0</v>
      </c>
      <c r="N48" s="1">
        <f>Table1[[#This Row],[Fixed_Charges]]+Table1[[#This Row],[No_of_Extra_slabs]]*Table1[[#This Row],[Additional_Charges]]</f>
        <v>33</v>
      </c>
      <c r="O48">
        <f>_xlfn.XLOOKUP(Table1[[#This Row],[OrderID]],'Courier company invoice'!B:B,'Courier company invoice'!H:H)</f>
        <v>33</v>
      </c>
      <c r="P48" s="1">
        <f>Table1[[#This Row],[Billing Amount]]-Table1[[#This Row],[Expected charges]]</f>
        <v>0</v>
      </c>
      <c r="Q48" s="1" t="str" cm="1">
        <f t="array" ref="Q4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49" spans="1:17" x14ac:dyDescent="0.3">
      <c r="A49" s="3" t="s">
        <v>18</v>
      </c>
      <c r="B49" s="2">
        <f>Table1[[#This Row],[Order ID]]*1</f>
        <v>2001818390</v>
      </c>
      <c r="C49" s="2">
        <v>8904223819147</v>
      </c>
      <c r="D49">
        <v>1</v>
      </c>
      <c r="E49">
        <f>_xlfn.XLOOKUP(Table1[[#This Row],[SKU (Product Code)]],'SKU Master'!A:A,'SKU Master'!B:B)</f>
        <v>240</v>
      </c>
      <c r="F49">
        <f>Table1[[#This Row],[Product weight]]*Table1[[#This Row],[Order Qty]]</f>
        <v>240</v>
      </c>
      <c r="G49">
        <f>Table1[[#This Row],[Weight per order (g)]]/1000</f>
        <v>0.24</v>
      </c>
      <c r="H49" s="1">
        <f>CEILING(Table1[[#This Row],[Weight per order (Kg)]],0.5)</f>
        <v>0.5</v>
      </c>
      <c r="I49" t="str">
        <f>_xlfn.XLOOKUP(Table1[[#This Row],[OrderID]],'Courier company invoice'!B:B,'Courier company invoice'!F:F)</f>
        <v>e</v>
      </c>
      <c r="J49" s="1" t="str">
        <f>_xlfn.XLOOKUP(Table1[[#This Row],[OrderID]],Table2[Order ID],Table2[Type of Shipment],"Not Found")</f>
        <v>Forward and RTO charges</v>
      </c>
      <c r="K49">
        <f>INDEX(Sheet1[],1,MATCH("fwd_"&amp;Table1[[#This Row],[Zone]]&amp;"_fixed",Sheet1[#Headers],0))</f>
        <v>56.6</v>
      </c>
      <c r="L49">
        <f>INDEX(Sheet1[],1,MATCH("fwd_"&amp;Table1[[#This Row],[Zone]]&amp;"_additional",Sheet1[#Headers],0))</f>
        <v>55.5</v>
      </c>
      <c r="M49" s="1">
        <f>(Table1[[#This Row],[Weight slab]]-0.5)/0.5</f>
        <v>0</v>
      </c>
      <c r="N49" s="1">
        <f>Table1[[#This Row],[Fixed_Charges]]+Table1[[#This Row],[No_of_Extra_slabs]]*Table1[[#This Row],[Additional_Charges]]</f>
        <v>56.6</v>
      </c>
      <c r="O49">
        <f>_xlfn.XLOOKUP(Table1[[#This Row],[OrderID]],'Courier company invoice'!B:B,'Courier company invoice'!H:H)</f>
        <v>213.5</v>
      </c>
      <c r="P49" s="1">
        <f>Table1[[#This Row],[Billing Amount]]-Table1[[#This Row],[Expected charges]]</f>
        <v>156.9</v>
      </c>
      <c r="Q49" s="1" t="str" cm="1">
        <f t="array" ref="Q4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50" spans="1:17" x14ac:dyDescent="0.3">
      <c r="A50" s="3" t="s">
        <v>18</v>
      </c>
      <c r="B50" s="2">
        <f>Table1[[#This Row],[Order ID]]*1</f>
        <v>2001818390</v>
      </c>
      <c r="C50" s="2">
        <v>8904223818935</v>
      </c>
      <c r="D50">
        <v>4</v>
      </c>
      <c r="E50">
        <f>_xlfn.XLOOKUP(Table1[[#This Row],[SKU (Product Code)]],'SKU Master'!A:A,'SKU Master'!B:B)</f>
        <v>120</v>
      </c>
      <c r="F50">
        <f>Table1[[#This Row],[Product weight]]*Table1[[#This Row],[Order Qty]]</f>
        <v>480</v>
      </c>
      <c r="G50">
        <f>Table1[[#This Row],[Weight per order (g)]]/1000</f>
        <v>0.48</v>
      </c>
      <c r="H50" s="1">
        <f>CEILING(Table1[[#This Row],[Weight per order (Kg)]],0.5)</f>
        <v>0.5</v>
      </c>
      <c r="I50" t="str">
        <f>_xlfn.XLOOKUP(Table1[[#This Row],[OrderID]],'Courier company invoice'!B:B,'Courier company invoice'!F:F)</f>
        <v>e</v>
      </c>
      <c r="J50" s="1" t="str">
        <f>_xlfn.XLOOKUP(Table1[[#This Row],[OrderID]],Table2[Order ID],Table2[Type of Shipment],"Not Found")</f>
        <v>Forward and RTO charges</v>
      </c>
      <c r="K50">
        <f>INDEX(Sheet1[],1,MATCH("fwd_"&amp;Table1[[#This Row],[Zone]]&amp;"_fixed",Sheet1[#Headers],0))</f>
        <v>56.6</v>
      </c>
      <c r="L50">
        <f>INDEX(Sheet1[],1,MATCH("fwd_"&amp;Table1[[#This Row],[Zone]]&amp;"_additional",Sheet1[#Headers],0))</f>
        <v>55.5</v>
      </c>
      <c r="M50" s="1">
        <f>(Table1[[#This Row],[Weight slab]]-0.5)/0.5</f>
        <v>0</v>
      </c>
      <c r="N50" s="1">
        <f>Table1[[#This Row],[Fixed_Charges]]+Table1[[#This Row],[No_of_Extra_slabs]]*Table1[[#This Row],[Additional_Charges]]</f>
        <v>56.6</v>
      </c>
      <c r="O50">
        <f>_xlfn.XLOOKUP(Table1[[#This Row],[OrderID]],'Courier company invoice'!B:B,'Courier company invoice'!H:H)</f>
        <v>213.5</v>
      </c>
      <c r="P50" s="1">
        <f>Table1[[#This Row],[Billing Amount]]-Table1[[#This Row],[Expected charges]]</f>
        <v>156.9</v>
      </c>
      <c r="Q50" s="1" t="str" cm="1">
        <f t="array" ref="Q5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51" spans="1:17" x14ac:dyDescent="0.3">
      <c r="A51" s="3" t="s">
        <v>18</v>
      </c>
      <c r="B51" s="2">
        <f>Table1[[#This Row],[Order ID]]*1</f>
        <v>2001818390</v>
      </c>
      <c r="C51" s="2">
        <v>8904223818683</v>
      </c>
      <c r="D51">
        <v>1</v>
      </c>
      <c r="E51">
        <f>_xlfn.XLOOKUP(Table1[[#This Row],[SKU (Product Code)]],'SKU Master'!A:A,'SKU Master'!B:B)</f>
        <v>121</v>
      </c>
      <c r="F51">
        <f>Table1[[#This Row],[Product weight]]*Table1[[#This Row],[Order Qty]]</f>
        <v>121</v>
      </c>
      <c r="G51">
        <f>Table1[[#This Row],[Weight per order (g)]]/1000</f>
        <v>0.121</v>
      </c>
      <c r="H51" s="1">
        <f>CEILING(Table1[[#This Row],[Weight per order (Kg)]],0.5)</f>
        <v>0.5</v>
      </c>
      <c r="I51" t="str">
        <f>_xlfn.XLOOKUP(Table1[[#This Row],[OrderID]],'Courier company invoice'!B:B,'Courier company invoice'!F:F)</f>
        <v>e</v>
      </c>
      <c r="J51" s="1" t="str">
        <f>_xlfn.XLOOKUP(Table1[[#This Row],[OrderID]],Table2[Order ID],Table2[Type of Shipment],"Not Found")</f>
        <v>Forward and RTO charges</v>
      </c>
      <c r="K51">
        <f>INDEX(Sheet1[],1,MATCH("fwd_"&amp;Table1[[#This Row],[Zone]]&amp;"_fixed",Sheet1[#Headers],0))</f>
        <v>56.6</v>
      </c>
      <c r="L51">
        <f>INDEX(Sheet1[],1,MATCH("fwd_"&amp;Table1[[#This Row],[Zone]]&amp;"_additional",Sheet1[#Headers],0))</f>
        <v>55.5</v>
      </c>
      <c r="M51" s="1">
        <f>(Table1[[#This Row],[Weight slab]]-0.5)/0.5</f>
        <v>0</v>
      </c>
      <c r="N51" s="1">
        <f>Table1[[#This Row],[Fixed_Charges]]+Table1[[#This Row],[No_of_Extra_slabs]]*Table1[[#This Row],[Additional_Charges]]</f>
        <v>56.6</v>
      </c>
      <c r="O51">
        <f>_xlfn.XLOOKUP(Table1[[#This Row],[OrderID]],'Courier company invoice'!B:B,'Courier company invoice'!H:H)</f>
        <v>213.5</v>
      </c>
      <c r="P51" s="1">
        <f>Table1[[#This Row],[Billing Amount]]-Table1[[#This Row],[Expected charges]]</f>
        <v>156.9</v>
      </c>
      <c r="Q51" s="1" t="str" cm="1">
        <f t="array" ref="Q5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52" spans="1:17" x14ac:dyDescent="0.3">
      <c r="A52" s="3" t="s">
        <v>19</v>
      </c>
      <c r="B52" s="2">
        <f>Table1[[#This Row],[Order ID]]*1</f>
        <v>2001817160</v>
      </c>
      <c r="C52" s="2">
        <v>8904223818478</v>
      </c>
      <c r="D52">
        <v>1</v>
      </c>
      <c r="E52">
        <f>_xlfn.XLOOKUP(Table1[[#This Row],[SKU (Product Code)]],'SKU Master'!A:A,'SKU Master'!B:B)</f>
        <v>350</v>
      </c>
      <c r="F52">
        <f>Table1[[#This Row],[Product weight]]*Table1[[#This Row],[Order Qty]]</f>
        <v>350</v>
      </c>
      <c r="G52">
        <f>Table1[[#This Row],[Weight per order (g)]]/1000</f>
        <v>0.35</v>
      </c>
      <c r="H52" s="1">
        <f>CEILING(Table1[[#This Row],[Weight per order (Kg)]],0.5)</f>
        <v>0.5</v>
      </c>
      <c r="I52" t="str">
        <f>_xlfn.XLOOKUP(Table1[[#This Row],[OrderID]],'Courier company invoice'!B:B,'Courier company invoice'!F:F)</f>
        <v>d</v>
      </c>
      <c r="J52" s="1" t="str">
        <f>_xlfn.XLOOKUP(Table1[[#This Row],[OrderID]],Table2[Order ID],Table2[Type of Shipment],"Not Found")</f>
        <v>Forward and RTO charges</v>
      </c>
      <c r="K52">
        <f>INDEX(Sheet1[],1,MATCH("fwd_"&amp;Table1[[#This Row],[Zone]]&amp;"_fixed",Sheet1[#Headers],0))</f>
        <v>45.4</v>
      </c>
      <c r="L52">
        <f>INDEX(Sheet1[],1,MATCH("fwd_"&amp;Table1[[#This Row],[Zone]]&amp;"_additional",Sheet1[#Headers],0))</f>
        <v>44.8</v>
      </c>
      <c r="M52" s="1">
        <f>(Table1[[#This Row],[Weight slab]]-0.5)/0.5</f>
        <v>0</v>
      </c>
      <c r="N52" s="1">
        <f>Table1[[#This Row],[Fixed_Charges]]+Table1[[#This Row],[No_of_Extra_slabs]]*Table1[[#This Row],[Additional_Charges]]</f>
        <v>45.4</v>
      </c>
      <c r="O52">
        <f>_xlfn.XLOOKUP(Table1[[#This Row],[OrderID]],'Courier company invoice'!B:B,'Courier company invoice'!H:H)</f>
        <v>172.8</v>
      </c>
      <c r="P52" s="1">
        <f>Table1[[#This Row],[Billing Amount]]-Table1[[#This Row],[Expected charges]]</f>
        <v>127.4</v>
      </c>
      <c r="Q52" s="1" t="str" cm="1">
        <f t="array" ref="Q5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53" spans="1:17" x14ac:dyDescent="0.3">
      <c r="A53" s="3" t="s">
        <v>19</v>
      </c>
      <c r="B53" s="2">
        <f>Table1[[#This Row],[Order ID]]*1</f>
        <v>2001817160</v>
      </c>
      <c r="C53" s="2">
        <v>8904223819284</v>
      </c>
      <c r="D53">
        <v>1</v>
      </c>
      <c r="E53">
        <f>_xlfn.XLOOKUP(Table1[[#This Row],[SKU (Product Code)]],'SKU Master'!A:A,'SKU Master'!B:B)</f>
        <v>350</v>
      </c>
      <c r="F53">
        <f>Table1[[#This Row],[Product weight]]*Table1[[#This Row],[Order Qty]]</f>
        <v>350</v>
      </c>
      <c r="G53">
        <f>Table1[[#This Row],[Weight per order (g)]]/1000</f>
        <v>0.35</v>
      </c>
      <c r="H53" s="1">
        <f>CEILING(Table1[[#This Row],[Weight per order (Kg)]],0.5)</f>
        <v>0.5</v>
      </c>
      <c r="I53" t="str">
        <f>_xlfn.XLOOKUP(Table1[[#This Row],[OrderID]],'Courier company invoice'!B:B,'Courier company invoice'!F:F)</f>
        <v>d</v>
      </c>
      <c r="J53" s="1" t="str">
        <f>_xlfn.XLOOKUP(Table1[[#This Row],[OrderID]],Table2[Order ID],Table2[Type of Shipment],"Not Found")</f>
        <v>Forward and RTO charges</v>
      </c>
      <c r="K53">
        <f>INDEX(Sheet1[],1,MATCH("fwd_"&amp;Table1[[#This Row],[Zone]]&amp;"_fixed",Sheet1[#Headers],0))</f>
        <v>45.4</v>
      </c>
      <c r="L53">
        <f>INDEX(Sheet1[],1,MATCH("fwd_"&amp;Table1[[#This Row],[Zone]]&amp;"_additional",Sheet1[#Headers],0))</f>
        <v>44.8</v>
      </c>
      <c r="M53" s="1">
        <f>(Table1[[#This Row],[Weight slab]]-0.5)/0.5</f>
        <v>0</v>
      </c>
      <c r="N53" s="1">
        <f>Table1[[#This Row],[Fixed_Charges]]+Table1[[#This Row],[No_of_Extra_slabs]]*Table1[[#This Row],[Additional_Charges]]</f>
        <v>45.4</v>
      </c>
      <c r="O53">
        <f>_xlfn.XLOOKUP(Table1[[#This Row],[OrderID]],'Courier company invoice'!B:B,'Courier company invoice'!H:H)</f>
        <v>172.8</v>
      </c>
      <c r="P53" s="1">
        <f>Table1[[#This Row],[Billing Amount]]-Table1[[#This Row],[Expected charges]]</f>
        <v>127.4</v>
      </c>
      <c r="Q53" s="1" t="str" cm="1">
        <f t="array" ref="Q5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54" spans="1:17" x14ac:dyDescent="0.3">
      <c r="A54" s="3" t="s">
        <v>20</v>
      </c>
      <c r="B54" s="2">
        <f>Table1[[#This Row],[Order ID]]*1</f>
        <v>2001817093</v>
      </c>
      <c r="C54" s="2">
        <v>8904223816214</v>
      </c>
      <c r="D54">
        <v>1</v>
      </c>
      <c r="E54">
        <f>_xlfn.XLOOKUP(Table1[[#This Row],[SKU (Product Code)]],'SKU Master'!A:A,'SKU Master'!B:B)</f>
        <v>120</v>
      </c>
      <c r="F54">
        <f>Table1[[#This Row],[Product weight]]*Table1[[#This Row],[Order Qty]]</f>
        <v>120</v>
      </c>
      <c r="G54">
        <f>Table1[[#This Row],[Weight per order (g)]]/1000</f>
        <v>0.12</v>
      </c>
      <c r="H54" s="1">
        <f>CEILING(Table1[[#This Row],[Weight per order (Kg)]],0.5)</f>
        <v>0.5</v>
      </c>
      <c r="I54" t="str">
        <f>_xlfn.XLOOKUP(Table1[[#This Row],[OrderID]],'Courier company invoice'!B:B,'Courier company invoice'!F:F)</f>
        <v>b</v>
      </c>
      <c r="J54" s="1" t="str">
        <f>_xlfn.XLOOKUP(Table1[[#This Row],[OrderID]],Table2[Order ID],Table2[Type of Shipment],"Not Found")</f>
        <v>Forward and RTO charges</v>
      </c>
      <c r="K54">
        <f>INDEX(Sheet1[],1,MATCH("fwd_"&amp;Table1[[#This Row],[Zone]]&amp;"_fixed",Sheet1[#Headers],0))</f>
        <v>33</v>
      </c>
      <c r="L54">
        <f>INDEX(Sheet1[],1,MATCH("fwd_"&amp;Table1[[#This Row],[Zone]]&amp;"_additional",Sheet1[#Headers],0))</f>
        <v>28.3</v>
      </c>
      <c r="M54" s="1">
        <f>(Table1[[#This Row],[Weight slab]]-0.5)/0.5</f>
        <v>0</v>
      </c>
      <c r="N54" s="1">
        <f>Table1[[#This Row],[Fixed_Charges]]+Table1[[#This Row],[No_of_Extra_slabs]]*Table1[[#This Row],[Additional_Charges]]</f>
        <v>33</v>
      </c>
      <c r="O54">
        <f>_xlfn.XLOOKUP(Table1[[#This Row],[OrderID]],'Courier company invoice'!B:B,'Courier company invoice'!H:H)</f>
        <v>151.1</v>
      </c>
      <c r="P54" s="1">
        <f>Table1[[#This Row],[Billing Amount]]-Table1[[#This Row],[Expected charges]]</f>
        <v>118.1</v>
      </c>
      <c r="Q54" s="1" t="str" cm="1">
        <f t="array" ref="Q5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55" spans="1:17" x14ac:dyDescent="0.3">
      <c r="A55" s="3" t="s">
        <v>20</v>
      </c>
      <c r="B55" s="2">
        <f>Table1[[#This Row],[Order ID]]*1</f>
        <v>2001817093</v>
      </c>
      <c r="C55" s="2">
        <v>8904223818874</v>
      </c>
      <c r="D55">
        <v>1</v>
      </c>
      <c r="E55">
        <f>_xlfn.XLOOKUP(Table1[[#This Row],[SKU (Product Code)]],'SKU Master'!A:A,'SKU Master'!B:B)</f>
        <v>100</v>
      </c>
      <c r="F55">
        <f>Table1[[#This Row],[Product weight]]*Table1[[#This Row],[Order Qty]]</f>
        <v>100</v>
      </c>
      <c r="G55">
        <f>Table1[[#This Row],[Weight per order (g)]]/1000</f>
        <v>0.1</v>
      </c>
      <c r="H55" s="1">
        <f>CEILING(Table1[[#This Row],[Weight per order (Kg)]],0.5)</f>
        <v>0.5</v>
      </c>
      <c r="I55" t="str">
        <f>_xlfn.XLOOKUP(Table1[[#This Row],[OrderID]],'Courier company invoice'!B:B,'Courier company invoice'!F:F)</f>
        <v>b</v>
      </c>
      <c r="J55" s="1" t="str">
        <f>_xlfn.XLOOKUP(Table1[[#This Row],[OrderID]],Table2[Order ID],Table2[Type of Shipment],"Not Found")</f>
        <v>Forward and RTO charges</v>
      </c>
      <c r="K55">
        <f>INDEX(Sheet1[],1,MATCH("fwd_"&amp;Table1[[#This Row],[Zone]]&amp;"_fixed",Sheet1[#Headers],0))</f>
        <v>33</v>
      </c>
      <c r="L55">
        <f>INDEX(Sheet1[],1,MATCH("fwd_"&amp;Table1[[#This Row],[Zone]]&amp;"_additional",Sheet1[#Headers],0))</f>
        <v>28.3</v>
      </c>
      <c r="M55" s="1">
        <f>(Table1[[#This Row],[Weight slab]]-0.5)/0.5</f>
        <v>0</v>
      </c>
      <c r="N55" s="1">
        <f>Table1[[#This Row],[Fixed_Charges]]+Table1[[#This Row],[No_of_Extra_slabs]]*Table1[[#This Row],[Additional_Charges]]</f>
        <v>33</v>
      </c>
      <c r="O55">
        <f>_xlfn.XLOOKUP(Table1[[#This Row],[OrderID]],'Courier company invoice'!B:B,'Courier company invoice'!H:H)</f>
        <v>151.1</v>
      </c>
      <c r="P55" s="1">
        <f>Table1[[#This Row],[Billing Amount]]-Table1[[#This Row],[Expected charges]]</f>
        <v>118.1</v>
      </c>
      <c r="Q55" s="1" t="str" cm="1">
        <f t="array" ref="Q5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56" spans="1:17" x14ac:dyDescent="0.3">
      <c r="A56" s="3" t="s">
        <v>20</v>
      </c>
      <c r="B56" s="2">
        <f>Table1[[#This Row],[Order ID]]*1</f>
        <v>2001817093</v>
      </c>
      <c r="C56" s="2">
        <v>8904223819512</v>
      </c>
      <c r="D56">
        <v>1</v>
      </c>
      <c r="E56">
        <f>_xlfn.XLOOKUP(Table1[[#This Row],[SKU (Product Code)]],'SKU Master'!A:A,'SKU Master'!B:B)</f>
        <v>210</v>
      </c>
      <c r="F56">
        <f>Table1[[#This Row],[Product weight]]*Table1[[#This Row],[Order Qty]]</f>
        <v>210</v>
      </c>
      <c r="G56">
        <f>Table1[[#This Row],[Weight per order (g)]]/1000</f>
        <v>0.21</v>
      </c>
      <c r="H56" s="1">
        <f>CEILING(Table1[[#This Row],[Weight per order (Kg)]],0.5)</f>
        <v>0.5</v>
      </c>
      <c r="I56" t="str">
        <f>_xlfn.XLOOKUP(Table1[[#This Row],[OrderID]],'Courier company invoice'!B:B,'Courier company invoice'!F:F)</f>
        <v>b</v>
      </c>
      <c r="J56" s="1" t="str">
        <f>_xlfn.XLOOKUP(Table1[[#This Row],[OrderID]],Table2[Order ID],Table2[Type of Shipment],"Not Found")</f>
        <v>Forward and RTO charges</v>
      </c>
      <c r="K56">
        <f>INDEX(Sheet1[],1,MATCH("fwd_"&amp;Table1[[#This Row],[Zone]]&amp;"_fixed",Sheet1[#Headers],0))</f>
        <v>33</v>
      </c>
      <c r="L56">
        <f>INDEX(Sheet1[],1,MATCH("fwd_"&amp;Table1[[#This Row],[Zone]]&amp;"_additional",Sheet1[#Headers],0))</f>
        <v>28.3</v>
      </c>
      <c r="M56" s="1">
        <f>(Table1[[#This Row],[Weight slab]]-0.5)/0.5</f>
        <v>0</v>
      </c>
      <c r="N56" s="1">
        <f>Table1[[#This Row],[Fixed_Charges]]+Table1[[#This Row],[No_of_Extra_slabs]]*Table1[[#This Row],[Additional_Charges]]</f>
        <v>33</v>
      </c>
      <c r="O56">
        <f>_xlfn.XLOOKUP(Table1[[#This Row],[OrderID]],'Courier company invoice'!B:B,'Courier company invoice'!H:H)</f>
        <v>151.1</v>
      </c>
      <c r="P56" s="1">
        <f>Table1[[#This Row],[Billing Amount]]-Table1[[#This Row],[Expected charges]]</f>
        <v>118.1</v>
      </c>
      <c r="Q56" s="1" t="str" cm="1">
        <f t="array" ref="Q5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57" spans="1:17" x14ac:dyDescent="0.3">
      <c r="A57" s="3" t="s">
        <v>20</v>
      </c>
      <c r="B57" s="2">
        <f>Table1[[#This Row],[Order ID]]*1</f>
        <v>2001817093</v>
      </c>
      <c r="C57" s="2">
        <v>8904223818881</v>
      </c>
      <c r="D57">
        <v>1</v>
      </c>
      <c r="E57">
        <f>_xlfn.XLOOKUP(Table1[[#This Row],[SKU (Product Code)]],'SKU Master'!A:A,'SKU Master'!B:B)</f>
        <v>140</v>
      </c>
      <c r="F57">
        <f>Table1[[#This Row],[Product weight]]*Table1[[#This Row],[Order Qty]]</f>
        <v>140</v>
      </c>
      <c r="G57">
        <f>Table1[[#This Row],[Weight per order (g)]]/1000</f>
        <v>0.14000000000000001</v>
      </c>
      <c r="H57" s="1">
        <f>CEILING(Table1[[#This Row],[Weight per order (Kg)]],0.5)</f>
        <v>0.5</v>
      </c>
      <c r="I57" t="str">
        <f>_xlfn.XLOOKUP(Table1[[#This Row],[OrderID]],'Courier company invoice'!B:B,'Courier company invoice'!F:F)</f>
        <v>b</v>
      </c>
      <c r="J57" s="1" t="str">
        <f>_xlfn.XLOOKUP(Table1[[#This Row],[OrderID]],Table2[Order ID],Table2[Type of Shipment],"Not Found")</f>
        <v>Forward and RTO charges</v>
      </c>
      <c r="K57">
        <f>INDEX(Sheet1[],1,MATCH("fwd_"&amp;Table1[[#This Row],[Zone]]&amp;"_fixed",Sheet1[#Headers],0))</f>
        <v>33</v>
      </c>
      <c r="L57">
        <f>INDEX(Sheet1[],1,MATCH("fwd_"&amp;Table1[[#This Row],[Zone]]&amp;"_additional",Sheet1[#Headers],0))</f>
        <v>28.3</v>
      </c>
      <c r="M57" s="1">
        <f>(Table1[[#This Row],[Weight slab]]-0.5)/0.5</f>
        <v>0</v>
      </c>
      <c r="N57" s="1">
        <f>Table1[[#This Row],[Fixed_Charges]]+Table1[[#This Row],[No_of_Extra_slabs]]*Table1[[#This Row],[Additional_Charges]]</f>
        <v>33</v>
      </c>
      <c r="O57">
        <f>_xlfn.XLOOKUP(Table1[[#This Row],[OrderID]],'Courier company invoice'!B:B,'Courier company invoice'!H:H)</f>
        <v>151.1</v>
      </c>
      <c r="P57" s="1">
        <f>Table1[[#This Row],[Billing Amount]]-Table1[[#This Row],[Expected charges]]</f>
        <v>118.1</v>
      </c>
      <c r="Q57" s="1" t="str" cm="1">
        <f t="array" ref="Q5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58" spans="1:17" x14ac:dyDescent="0.3">
      <c r="A58" s="3" t="s">
        <v>20</v>
      </c>
      <c r="B58" s="2">
        <f>Table1[[#This Row],[Order ID]]*1</f>
        <v>2001817093</v>
      </c>
      <c r="C58" s="2">
        <v>8904223819291</v>
      </c>
      <c r="D58">
        <v>2</v>
      </c>
      <c r="E58">
        <f>_xlfn.XLOOKUP(Table1[[#This Row],[SKU (Product Code)]],'SKU Master'!A:A,'SKU Master'!B:B)</f>
        <v>112</v>
      </c>
      <c r="F58">
        <f>Table1[[#This Row],[Product weight]]*Table1[[#This Row],[Order Qty]]</f>
        <v>224</v>
      </c>
      <c r="G58">
        <f>Table1[[#This Row],[Weight per order (g)]]/1000</f>
        <v>0.224</v>
      </c>
      <c r="H58" s="1">
        <f>CEILING(Table1[[#This Row],[Weight per order (Kg)]],0.5)</f>
        <v>0.5</v>
      </c>
      <c r="I58" t="str">
        <f>_xlfn.XLOOKUP(Table1[[#This Row],[OrderID]],'Courier company invoice'!B:B,'Courier company invoice'!F:F)</f>
        <v>b</v>
      </c>
      <c r="J58" s="1" t="str">
        <f>_xlfn.XLOOKUP(Table1[[#This Row],[OrderID]],Table2[Order ID],Table2[Type of Shipment],"Not Found")</f>
        <v>Forward and RTO charges</v>
      </c>
      <c r="K58">
        <f>INDEX(Sheet1[],1,MATCH("fwd_"&amp;Table1[[#This Row],[Zone]]&amp;"_fixed",Sheet1[#Headers],0))</f>
        <v>33</v>
      </c>
      <c r="L58">
        <f>INDEX(Sheet1[],1,MATCH("fwd_"&amp;Table1[[#This Row],[Zone]]&amp;"_additional",Sheet1[#Headers],0))</f>
        <v>28.3</v>
      </c>
      <c r="M58" s="1">
        <f>(Table1[[#This Row],[Weight slab]]-0.5)/0.5</f>
        <v>0</v>
      </c>
      <c r="N58" s="1">
        <f>Table1[[#This Row],[Fixed_Charges]]+Table1[[#This Row],[No_of_Extra_slabs]]*Table1[[#This Row],[Additional_Charges]]</f>
        <v>33</v>
      </c>
      <c r="O58">
        <f>_xlfn.XLOOKUP(Table1[[#This Row],[OrderID]],'Courier company invoice'!B:B,'Courier company invoice'!H:H)</f>
        <v>151.1</v>
      </c>
      <c r="P58" s="1">
        <f>Table1[[#This Row],[Billing Amount]]-Table1[[#This Row],[Expected charges]]</f>
        <v>118.1</v>
      </c>
      <c r="Q58" s="1" t="str" cm="1">
        <f t="array" ref="Q5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59" spans="1:17" x14ac:dyDescent="0.3">
      <c r="A59" s="3" t="s">
        <v>20</v>
      </c>
      <c r="B59" s="2">
        <f>Table1[[#This Row],[Order ID]]*1</f>
        <v>2001817093</v>
      </c>
      <c r="C59" s="2">
        <v>8904223819031</v>
      </c>
      <c r="D59">
        <v>2</v>
      </c>
      <c r="E59">
        <f>_xlfn.XLOOKUP(Table1[[#This Row],[SKU (Product Code)]],'SKU Master'!A:A,'SKU Master'!B:B)</f>
        <v>112</v>
      </c>
      <c r="F59">
        <f>Table1[[#This Row],[Product weight]]*Table1[[#This Row],[Order Qty]]</f>
        <v>224</v>
      </c>
      <c r="G59">
        <f>Table1[[#This Row],[Weight per order (g)]]/1000</f>
        <v>0.224</v>
      </c>
      <c r="H59" s="1">
        <f>CEILING(Table1[[#This Row],[Weight per order (Kg)]],0.5)</f>
        <v>0.5</v>
      </c>
      <c r="I59" t="str">
        <f>_xlfn.XLOOKUP(Table1[[#This Row],[OrderID]],'Courier company invoice'!B:B,'Courier company invoice'!F:F)</f>
        <v>b</v>
      </c>
      <c r="J59" s="1" t="str">
        <f>_xlfn.XLOOKUP(Table1[[#This Row],[OrderID]],Table2[Order ID],Table2[Type of Shipment],"Not Found")</f>
        <v>Forward and RTO charges</v>
      </c>
      <c r="K59">
        <f>INDEX(Sheet1[],1,MATCH("fwd_"&amp;Table1[[#This Row],[Zone]]&amp;"_fixed",Sheet1[#Headers],0))</f>
        <v>33</v>
      </c>
      <c r="L59">
        <f>INDEX(Sheet1[],1,MATCH("fwd_"&amp;Table1[[#This Row],[Zone]]&amp;"_additional",Sheet1[#Headers],0))</f>
        <v>28.3</v>
      </c>
      <c r="M59" s="1">
        <f>(Table1[[#This Row],[Weight slab]]-0.5)/0.5</f>
        <v>0</v>
      </c>
      <c r="N59" s="1">
        <f>Table1[[#This Row],[Fixed_Charges]]+Table1[[#This Row],[No_of_Extra_slabs]]*Table1[[#This Row],[Additional_Charges]]</f>
        <v>33</v>
      </c>
      <c r="O59">
        <f>_xlfn.XLOOKUP(Table1[[#This Row],[OrderID]],'Courier company invoice'!B:B,'Courier company invoice'!H:H)</f>
        <v>151.1</v>
      </c>
      <c r="P59" s="1">
        <f>Table1[[#This Row],[Billing Amount]]-Table1[[#This Row],[Expected charges]]</f>
        <v>118.1</v>
      </c>
      <c r="Q59" s="1" t="str" cm="1">
        <f t="array" ref="Q5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60" spans="1:17" x14ac:dyDescent="0.3">
      <c r="A60" s="3" t="s">
        <v>20</v>
      </c>
      <c r="B60" s="2">
        <f>Table1[[#This Row],[Order ID]]*1</f>
        <v>2001817093</v>
      </c>
      <c r="C60" s="2">
        <v>8904223819024</v>
      </c>
      <c r="D60">
        <v>2</v>
      </c>
      <c r="E60">
        <f>_xlfn.XLOOKUP(Table1[[#This Row],[SKU (Product Code)]],'SKU Master'!A:A,'SKU Master'!B:B)</f>
        <v>112</v>
      </c>
      <c r="F60">
        <f>Table1[[#This Row],[Product weight]]*Table1[[#This Row],[Order Qty]]</f>
        <v>224</v>
      </c>
      <c r="G60">
        <f>Table1[[#This Row],[Weight per order (g)]]/1000</f>
        <v>0.224</v>
      </c>
      <c r="H60" s="1">
        <f>CEILING(Table1[[#This Row],[Weight per order (Kg)]],0.5)</f>
        <v>0.5</v>
      </c>
      <c r="I60" t="str">
        <f>_xlfn.XLOOKUP(Table1[[#This Row],[OrderID]],'Courier company invoice'!B:B,'Courier company invoice'!F:F)</f>
        <v>b</v>
      </c>
      <c r="J60" s="1" t="str">
        <f>_xlfn.XLOOKUP(Table1[[#This Row],[OrderID]],Table2[Order ID],Table2[Type of Shipment],"Not Found")</f>
        <v>Forward and RTO charges</v>
      </c>
      <c r="K60">
        <f>INDEX(Sheet1[],1,MATCH("fwd_"&amp;Table1[[#This Row],[Zone]]&amp;"_fixed",Sheet1[#Headers],0))</f>
        <v>33</v>
      </c>
      <c r="L60">
        <f>INDEX(Sheet1[],1,MATCH("fwd_"&amp;Table1[[#This Row],[Zone]]&amp;"_additional",Sheet1[#Headers],0))</f>
        <v>28.3</v>
      </c>
      <c r="M60" s="1">
        <f>(Table1[[#This Row],[Weight slab]]-0.5)/0.5</f>
        <v>0</v>
      </c>
      <c r="N60" s="1">
        <f>Table1[[#This Row],[Fixed_Charges]]+Table1[[#This Row],[No_of_Extra_slabs]]*Table1[[#This Row],[Additional_Charges]]</f>
        <v>33</v>
      </c>
      <c r="O60">
        <f>_xlfn.XLOOKUP(Table1[[#This Row],[OrderID]],'Courier company invoice'!B:B,'Courier company invoice'!H:H)</f>
        <v>151.1</v>
      </c>
      <c r="P60" s="1">
        <f>Table1[[#This Row],[Billing Amount]]-Table1[[#This Row],[Expected charges]]</f>
        <v>118.1</v>
      </c>
      <c r="Q60" s="1" t="str" cm="1">
        <f t="array" ref="Q6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61" spans="1:17" x14ac:dyDescent="0.3">
      <c r="A61" s="3" t="s">
        <v>20</v>
      </c>
      <c r="B61" s="2">
        <f>Table1[[#This Row],[Order ID]]*1</f>
        <v>2001817093</v>
      </c>
      <c r="C61" s="2">
        <v>8904223818553</v>
      </c>
      <c r="D61">
        <v>1</v>
      </c>
      <c r="E61">
        <f>_xlfn.XLOOKUP(Table1[[#This Row],[SKU (Product Code)]],'SKU Master'!A:A,'SKU Master'!B:B)</f>
        <v>115</v>
      </c>
      <c r="F61">
        <f>Table1[[#This Row],[Product weight]]*Table1[[#This Row],[Order Qty]]</f>
        <v>115</v>
      </c>
      <c r="G61">
        <f>Table1[[#This Row],[Weight per order (g)]]/1000</f>
        <v>0.115</v>
      </c>
      <c r="H61" s="1">
        <f>CEILING(Table1[[#This Row],[Weight per order (Kg)]],0.5)</f>
        <v>0.5</v>
      </c>
      <c r="I61" t="str">
        <f>_xlfn.XLOOKUP(Table1[[#This Row],[OrderID]],'Courier company invoice'!B:B,'Courier company invoice'!F:F)</f>
        <v>b</v>
      </c>
      <c r="J61" s="1" t="str">
        <f>_xlfn.XLOOKUP(Table1[[#This Row],[OrderID]],Table2[Order ID],Table2[Type of Shipment],"Not Found")</f>
        <v>Forward and RTO charges</v>
      </c>
      <c r="K61">
        <f>INDEX(Sheet1[],1,MATCH("fwd_"&amp;Table1[[#This Row],[Zone]]&amp;"_fixed",Sheet1[#Headers],0))</f>
        <v>33</v>
      </c>
      <c r="L61">
        <f>INDEX(Sheet1[],1,MATCH("fwd_"&amp;Table1[[#This Row],[Zone]]&amp;"_additional",Sheet1[#Headers],0))</f>
        <v>28.3</v>
      </c>
      <c r="M61" s="1">
        <f>(Table1[[#This Row],[Weight slab]]-0.5)/0.5</f>
        <v>0</v>
      </c>
      <c r="N61" s="1">
        <f>Table1[[#This Row],[Fixed_Charges]]+Table1[[#This Row],[No_of_Extra_slabs]]*Table1[[#This Row],[Additional_Charges]]</f>
        <v>33</v>
      </c>
      <c r="O61">
        <f>_xlfn.XLOOKUP(Table1[[#This Row],[OrderID]],'Courier company invoice'!B:B,'Courier company invoice'!H:H)</f>
        <v>151.1</v>
      </c>
      <c r="P61" s="1">
        <f>Table1[[#This Row],[Billing Amount]]-Table1[[#This Row],[Expected charges]]</f>
        <v>118.1</v>
      </c>
      <c r="Q61" s="1" t="str" cm="1">
        <f t="array" ref="Q6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62" spans="1:17" x14ac:dyDescent="0.3">
      <c r="A62" s="3" t="s">
        <v>21</v>
      </c>
      <c r="B62" s="2">
        <f>Table1[[#This Row],[Order ID]]*1</f>
        <v>2001816996</v>
      </c>
      <c r="C62" s="2">
        <v>8904223818706</v>
      </c>
      <c r="D62">
        <v>1</v>
      </c>
      <c r="E62">
        <f>_xlfn.XLOOKUP(Table1[[#This Row],[SKU (Product Code)]],'SKU Master'!A:A,'SKU Master'!B:B)</f>
        <v>127</v>
      </c>
      <c r="F62">
        <f>Table1[[#This Row],[Product weight]]*Table1[[#This Row],[Order Qty]]</f>
        <v>127</v>
      </c>
      <c r="G62">
        <f>Table1[[#This Row],[Weight per order (g)]]/1000</f>
        <v>0.127</v>
      </c>
      <c r="H62" s="1">
        <f>CEILING(Table1[[#This Row],[Weight per order (Kg)]],0.5)</f>
        <v>0.5</v>
      </c>
      <c r="I62" t="str">
        <f>_xlfn.XLOOKUP(Table1[[#This Row],[OrderID]],'Courier company invoice'!B:B,'Courier company invoice'!F:F)</f>
        <v>d</v>
      </c>
      <c r="J62" s="1" t="str">
        <f>_xlfn.XLOOKUP(Table1[[#This Row],[OrderID]],Table2[Order ID],Table2[Type of Shipment],"Not Found")</f>
        <v>Forward charges</v>
      </c>
      <c r="K62">
        <f>INDEX(Sheet1[],1,MATCH("fwd_"&amp;Table1[[#This Row],[Zone]]&amp;"_fixed",Sheet1[#Headers],0))</f>
        <v>45.4</v>
      </c>
      <c r="L62">
        <f>INDEX(Sheet1[],1,MATCH("fwd_"&amp;Table1[[#This Row],[Zone]]&amp;"_additional",Sheet1[#Headers],0))</f>
        <v>44.8</v>
      </c>
      <c r="M62" s="1">
        <f>(Table1[[#This Row],[Weight slab]]-0.5)/0.5</f>
        <v>0</v>
      </c>
      <c r="N62" s="1">
        <f>Table1[[#This Row],[Fixed_Charges]]+Table1[[#This Row],[No_of_Extra_slabs]]*Table1[[#This Row],[Additional_Charges]]</f>
        <v>45.4</v>
      </c>
      <c r="O62">
        <f>_xlfn.XLOOKUP(Table1[[#This Row],[OrderID]],'Courier company invoice'!B:B,'Courier company invoice'!H:H)</f>
        <v>45.4</v>
      </c>
      <c r="P62" s="1">
        <f>Table1[[#This Row],[Billing Amount]]-Table1[[#This Row],[Expected charges]]</f>
        <v>0</v>
      </c>
      <c r="Q62" s="1" t="str" cm="1">
        <f t="array" ref="Q6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63" spans="1:17" x14ac:dyDescent="0.3">
      <c r="A63" s="3" t="s">
        <v>21</v>
      </c>
      <c r="B63" s="2">
        <f>Table1[[#This Row],[Order ID]]*1</f>
        <v>2001816996</v>
      </c>
      <c r="C63" s="2">
        <v>8904223818942</v>
      </c>
      <c r="D63">
        <v>1</v>
      </c>
      <c r="E63">
        <f>_xlfn.XLOOKUP(Table1[[#This Row],[SKU (Product Code)]],'SKU Master'!A:A,'SKU Master'!B:B)</f>
        <v>133</v>
      </c>
      <c r="F63">
        <f>Table1[[#This Row],[Product weight]]*Table1[[#This Row],[Order Qty]]</f>
        <v>133</v>
      </c>
      <c r="G63">
        <f>Table1[[#This Row],[Weight per order (g)]]/1000</f>
        <v>0.13300000000000001</v>
      </c>
      <c r="H63" s="1">
        <f>CEILING(Table1[[#This Row],[Weight per order (Kg)]],0.5)</f>
        <v>0.5</v>
      </c>
      <c r="I63" t="str">
        <f>_xlfn.XLOOKUP(Table1[[#This Row],[OrderID]],'Courier company invoice'!B:B,'Courier company invoice'!F:F)</f>
        <v>d</v>
      </c>
      <c r="J63" s="1" t="str">
        <f>_xlfn.XLOOKUP(Table1[[#This Row],[OrderID]],Table2[Order ID],Table2[Type of Shipment],"Not Found")</f>
        <v>Forward charges</v>
      </c>
      <c r="K63">
        <f>INDEX(Sheet1[],1,MATCH("fwd_"&amp;Table1[[#This Row],[Zone]]&amp;"_fixed",Sheet1[#Headers],0))</f>
        <v>45.4</v>
      </c>
      <c r="L63">
        <f>INDEX(Sheet1[],1,MATCH("fwd_"&amp;Table1[[#This Row],[Zone]]&amp;"_additional",Sheet1[#Headers],0))</f>
        <v>44.8</v>
      </c>
      <c r="M63" s="1">
        <f>(Table1[[#This Row],[Weight slab]]-0.5)/0.5</f>
        <v>0</v>
      </c>
      <c r="N63" s="1">
        <f>Table1[[#This Row],[Fixed_Charges]]+Table1[[#This Row],[No_of_Extra_slabs]]*Table1[[#This Row],[Additional_Charges]]</f>
        <v>45.4</v>
      </c>
      <c r="O63">
        <f>_xlfn.XLOOKUP(Table1[[#This Row],[OrderID]],'Courier company invoice'!B:B,'Courier company invoice'!H:H)</f>
        <v>45.4</v>
      </c>
      <c r="P63" s="1">
        <f>Table1[[#This Row],[Billing Amount]]-Table1[[#This Row],[Expected charges]]</f>
        <v>0</v>
      </c>
      <c r="Q63" s="1" t="str" cm="1">
        <f t="array" ref="Q6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64" spans="1:17" x14ac:dyDescent="0.3">
      <c r="A64" s="3" t="s">
        <v>21</v>
      </c>
      <c r="B64" s="2">
        <f>Table1[[#This Row],[Order ID]]*1</f>
        <v>2001816996</v>
      </c>
      <c r="C64" s="2">
        <v>8904223818850</v>
      </c>
      <c r="D64">
        <v>1</v>
      </c>
      <c r="E64">
        <f>_xlfn.XLOOKUP(Table1[[#This Row],[SKU (Product Code)]],'SKU Master'!A:A,'SKU Master'!B:B)</f>
        <v>240</v>
      </c>
      <c r="F64">
        <f>Table1[[#This Row],[Product weight]]*Table1[[#This Row],[Order Qty]]</f>
        <v>240</v>
      </c>
      <c r="G64">
        <f>Table1[[#This Row],[Weight per order (g)]]/1000</f>
        <v>0.24</v>
      </c>
      <c r="H64" s="1">
        <f>CEILING(Table1[[#This Row],[Weight per order (Kg)]],0.5)</f>
        <v>0.5</v>
      </c>
      <c r="I64" t="str">
        <f>_xlfn.XLOOKUP(Table1[[#This Row],[OrderID]],'Courier company invoice'!B:B,'Courier company invoice'!F:F)</f>
        <v>d</v>
      </c>
      <c r="J64" s="1" t="str">
        <f>_xlfn.XLOOKUP(Table1[[#This Row],[OrderID]],Table2[Order ID],Table2[Type of Shipment],"Not Found")</f>
        <v>Forward charges</v>
      </c>
      <c r="K64">
        <f>INDEX(Sheet1[],1,MATCH("fwd_"&amp;Table1[[#This Row],[Zone]]&amp;"_fixed",Sheet1[#Headers],0))</f>
        <v>45.4</v>
      </c>
      <c r="L64">
        <f>INDEX(Sheet1[],1,MATCH("fwd_"&amp;Table1[[#This Row],[Zone]]&amp;"_additional",Sheet1[#Headers],0))</f>
        <v>44.8</v>
      </c>
      <c r="M64" s="1">
        <f>(Table1[[#This Row],[Weight slab]]-0.5)/0.5</f>
        <v>0</v>
      </c>
      <c r="N64" s="1">
        <f>Table1[[#This Row],[Fixed_Charges]]+Table1[[#This Row],[No_of_Extra_slabs]]*Table1[[#This Row],[Additional_Charges]]</f>
        <v>45.4</v>
      </c>
      <c r="O64">
        <f>_xlfn.XLOOKUP(Table1[[#This Row],[OrderID]],'Courier company invoice'!B:B,'Courier company invoice'!H:H)</f>
        <v>45.4</v>
      </c>
      <c r="P64" s="1">
        <f>Table1[[#This Row],[Billing Amount]]-Table1[[#This Row],[Expected charges]]</f>
        <v>0</v>
      </c>
      <c r="Q64" s="1" t="str" cm="1">
        <f t="array" ref="Q6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65" spans="1:17" x14ac:dyDescent="0.3">
      <c r="A65" s="3" t="s">
        <v>22</v>
      </c>
      <c r="B65" s="2">
        <f>Table1[[#This Row],[Order ID]]*1</f>
        <v>2001816684</v>
      </c>
      <c r="C65" s="2">
        <v>8904223816214</v>
      </c>
      <c r="D65">
        <v>2</v>
      </c>
      <c r="E65">
        <f>_xlfn.XLOOKUP(Table1[[#This Row],[SKU (Product Code)]],'SKU Master'!A:A,'SKU Master'!B:B)</f>
        <v>120</v>
      </c>
      <c r="F65">
        <f>Table1[[#This Row],[Product weight]]*Table1[[#This Row],[Order Qty]]</f>
        <v>240</v>
      </c>
      <c r="G65">
        <f>Table1[[#This Row],[Weight per order (g)]]/1000</f>
        <v>0.24</v>
      </c>
      <c r="H65" s="1">
        <f>CEILING(Table1[[#This Row],[Weight per order (Kg)]],0.5)</f>
        <v>0.5</v>
      </c>
      <c r="I65" t="str">
        <f>_xlfn.XLOOKUP(Table1[[#This Row],[OrderID]],'Courier company invoice'!B:B,'Courier company invoice'!F:F)</f>
        <v>d</v>
      </c>
      <c r="J65" s="1" t="str">
        <f>_xlfn.XLOOKUP(Table1[[#This Row],[OrderID]],Table2[Order ID],Table2[Type of Shipment],"Not Found")</f>
        <v>Forward and RTO charges</v>
      </c>
      <c r="K65">
        <f>INDEX(Sheet1[],1,MATCH("fwd_"&amp;Table1[[#This Row],[Zone]]&amp;"_fixed",Sheet1[#Headers],0))</f>
        <v>45.4</v>
      </c>
      <c r="L65">
        <f>INDEX(Sheet1[],1,MATCH("fwd_"&amp;Table1[[#This Row],[Zone]]&amp;"_additional",Sheet1[#Headers],0))</f>
        <v>44.8</v>
      </c>
      <c r="M65" s="1">
        <f>(Table1[[#This Row],[Weight slab]]-0.5)/0.5</f>
        <v>0</v>
      </c>
      <c r="N65" s="1">
        <f>Table1[[#This Row],[Fixed_Charges]]+Table1[[#This Row],[No_of_Extra_slabs]]*Table1[[#This Row],[Additional_Charges]]</f>
        <v>45.4</v>
      </c>
      <c r="O65">
        <f>_xlfn.XLOOKUP(Table1[[#This Row],[OrderID]],'Courier company invoice'!B:B,'Courier company invoice'!H:H)</f>
        <v>172.8</v>
      </c>
      <c r="P65" s="1">
        <f>Table1[[#This Row],[Billing Amount]]-Table1[[#This Row],[Expected charges]]</f>
        <v>127.4</v>
      </c>
      <c r="Q65" s="1" t="str" cm="1">
        <f t="array" ref="Q6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66" spans="1:17" x14ac:dyDescent="0.3">
      <c r="A66" s="3" t="s">
        <v>22</v>
      </c>
      <c r="B66" s="2">
        <f>Table1[[#This Row],[Order ID]]*1</f>
        <v>2001816684</v>
      </c>
      <c r="C66" s="2">
        <v>8904223818874</v>
      </c>
      <c r="D66">
        <v>2</v>
      </c>
      <c r="E66">
        <f>_xlfn.XLOOKUP(Table1[[#This Row],[SKU (Product Code)]],'SKU Master'!A:A,'SKU Master'!B:B)</f>
        <v>100</v>
      </c>
      <c r="F66">
        <f>Table1[[#This Row],[Product weight]]*Table1[[#This Row],[Order Qty]]</f>
        <v>200</v>
      </c>
      <c r="G66">
        <f>Table1[[#This Row],[Weight per order (g)]]/1000</f>
        <v>0.2</v>
      </c>
      <c r="H66" s="1">
        <f>CEILING(Table1[[#This Row],[Weight per order (Kg)]],0.5)</f>
        <v>0.5</v>
      </c>
      <c r="I66" t="str">
        <f>_xlfn.XLOOKUP(Table1[[#This Row],[OrderID]],'Courier company invoice'!B:B,'Courier company invoice'!F:F)</f>
        <v>d</v>
      </c>
      <c r="J66" s="1" t="str">
        <f>_xlfn.XLOOKUP(Table1[[#This Row],[OrderID]],Table2[Order ID],Table2[Type of Shipment],"Not Found")</f>
        <v>Forward and RTO charges</v>
      </c>
      <c r="K66">
        <f>INDEX(Sheet1[],1,MATCH("fwd_"&amp;Table1[[#This Row],[Zone]]&amp;"_fixed",Sheet1[#Headers],0))</f>
        <v>45.4</v>
      </c>
      <c r="L66">
        <f>INDEX(Sheet1[],1,MATCH("fwd_"&amp;Table1[[#This Row],[Zone]]&amp;"_additional",Sheet1[#Headers],0))</f>
        <v>44.8</v>
      </c>
      <c r="M66" s="1">
        <f>(Table1[[#This Row],[Weight slab]]-0.5)/0.5</f>
        <v>0</v>
      </c>
      <c r="N66" s="1">
        <f>Table1[[#This Row],[Fixed_Charges]]+Table1[[#This Row],[No_of_Extra_slabs]]*Table1[[#This Row],[Additional_Charges]]</f>
        <v>45.4</v>
      </c>
      <c r="O66">
        <f>_xlfn.XLOOKUP(Table1[[#This Row],[OrderID]],'Courier company invoice'!B:B,'Courier company invoice'!H:H)</f>
        <v>172.8</v>
      </c>
      <c r="P66" s="1">
        <f>Table1[[#This Row],[Billing Amount]]-Table1[[#This Row],[Expected charges]]</f>
        <v>127.4</v>
      </c>
      <c r="Q66" s="1" t="str" cm="1">
        <f t="array" ref="Q6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67" spans="1:17" x14ac:dyDescent="0.3">
      <c r="A67" s="3" t="s">
        <v>22</v>
      </c>
      <c r="B67" s="2">
        <f>Table1[[#This Row],[Order ID]]*1</f>
        <v>2001816684</v>
      </c>
      <c r="C67" s="2">
        <v>8904223818935</v>
      </c>
      <c r="D67">
        <v>4</v>
      </c>
      <c r="E67">
        <f>_xlfn.XLOOKUP(Table1[[#This Row],[SKU (Product Code)]],'SKU Master'!A:A,'SKU Master'!B:B)</f>
        <v>120</v>
      </c>
      <c r="F67">
        <f>Table1[[#This Row],[Product weight]]*Table1[[#This Row],[Order Qty]]</f>
        <v>480</v>
      </c>
      <c r="G67">
        <f>Table1[[#This Row],[Weight per order (g)]]/1000</f>
        <v>0.48</v>
      </c>
      <c r="H67" s="1">
        <f>CEILING(Table1[[#This Row],[Weight per order (Kg)]],0.5)</f>
        <v>0.5</v>
      </c>
      <c r="I67" t="str">
        <f>_xlfn.XLOOKUP(Table1[[#This Row],[OrderID]],'Courier company invoice'!B:B,'Courier company invoice'!F:F)</f>
        <v>d</v>
      </c>
      <c r="J67" s="1" t="str">
        <f>_xlfn.XLOOKUP(Table1[[#This Row],[OrderID]],Table2[Order ID],Table2[Type of Shipment],"Not Found")</f>
        <v>Forward and RTO charges</v>
      </c>
      <c r="K67">
        <f>INDEX(Sheet1[],1,MATCH("fwd_"&amp;Table1[[#This Row],[Zone]]&amp;"_fixed",Sheet1[#Headers],0))</f>
        <v>45.4</v>
      </c>
      <c r="L67">
        <f>INDEX(Sheet1[],1,MATCH("fwd_"&amp;Table1[[#This Row],[Zone]]&amp;"_additional",Sheet1[#Headers],0))</f>
        <v>44.8</v>
      </c>
      <c r="M67" s="1">
        <f>(Table1[[#This Row],[Weight slab]]-0.5)/0.5</f>
        <v>0</v>
      </c>
      <c r="N67" s="1">
        <f>Table1[[#This Row],[Fixed_Charges]]+Table1[[#This Row],[No_of_Extra_slabs]]*Table1[[#This Row],[Additional_Charges]]</f>
        <v>45.4</v>
      </c>
      <c r="O67">
        <f>_xlfn.XLOOKUP(Table1[[#This Row],[OrderID]],'Courier company invoice'!B:B,'Courier company invoice'!H:H)</f>
        <v>172.8</v>
      </c>
      <c r="P67" s="1">
        <f>Table1[[#This Row],[Billing Amount]]-Table1[[#This Row],[Expected charges]]</f>
        <v>127.4</v>
      </c>
      <c r="Q67" s="1" t="str" cm="1">
        <f t="array" ref="Q6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68" spans="1:17" x14ac:dyDescent="0.3">
      <c r="A68" s="3" t="s">
        <v>23</v>
      </c>
      <c r="B68" s="2">
        <f>Table1[[#This Row],[Order ID]]*1</f>
        <v>2001816131</v>
      </c>
      <c r="C68" s="2">
        <v>8904223816665</v>
      </c>
      <c r="D68">
        <v>2</v>
      </c>
      <c r="E68">
        <f>_xlfn.XLOOKUP(Table1[[#This Row],[SKU (Product Code)]],'SKU Master'!A:A,'SKU Master'!B:B)</f>
        <v>102</v>
      </c>
      <c r="F68">
        <f>Table1[[#This Row],[Product weight]]*Table1[[#This Row],[Order Qty]]</f>
        <v>204</v>
      </c>
      <c r="G68">
        <f>Table1[[#This Row],[Weight per order (g)]]/1000</f>
        <v>0.20399999999999999</v>
      </c>
      <c r="H68" s="1">
        <f>CEILING(Table1[[#This Row],[Weight per order (Kg)]],0.5)</f>
        <v>0.5</v>
      </c>
      <c r="I68" t="str">
        <f>_xlfn.XLOOKUP(Table1[[#This Row],[OrderID]],'Courier company invoice'!B:B,'Courier company invoice'!F:F)</f>
        <v>d</v>
      </c>
      <c r="J68" s="1" t="str">
        <f>_xlfn.XLOOKUP(Table1[[#This Row],[OrderID]],Table2[Order ID],Table2[Type of Shipment],"Not Found")</f>
        <v>Forward charges</v>
      </c>
      <c r="K68">
        <f>INDEX(Sheet1[],1,MATCH("fwd_"&amp;Table1[[#This Row],[Zone]]&amp;"_fixed",Sheet1[#Headers],0))</f>
        <v>45.4</v>
      </c>
      <c r="L68">
        <f>INDEX(Sheet1[],1,MATCH("fwd_"&amp;Table1[[#This Row],[Zone]]&amp;"_additional",Sheet1[#Headers],0))</f>
        <v>44.8</v>
      </c>
      <c r="M68" s="1">
        <f>(Table1[[#This Row],[Weight slab]]-0.5)/0.5</f>
        <v>0</v>
      </c>
      <c r="N68" s="1">
        <f>Table1[[#This Row],[Fixed_Charges]]+Table1[[#This Row],[No_of_Extra_slabs]]*Table1[[#This Row],[Additional_Charges]]</f>
        <v>45.4</v>
      </c>
      <c r="O68">
        <f>_xlfn.XLOOKUP(Table1[[#This Row],[OrderID]],'Courier company invoice'!B:B,'Courier company invoice'!H:H)</f>
        <v>90.2</v>
      </c>
      <c r="P68" s="1">
        <f>Table1[[#This Row],[Billing Amount]]-Table1[[#This Row],[Expected charges]]</f>
        <v>44.800000000000004</v>
      </c>
      <c r="Q68" s="1" t="str" cm="1">
        <f t="array" ref="Q6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69" spans="1:17" x14ac:dyDescent="0.3">
      <c r="A69" s="3" t="s">
        <v>23</v>
      </c>
      <c r="B69" s="2">
        <f>Table1[[#This Row],[Order ID]]*1</f>
        <v>2001816131</v>
      </c>
      <c r="C69" s="2">
        <v>8904223819277</v>
      </c>
      <c r="D69">
        <v>1</v>
      </c>
      <c r="E69">
        <f>_xlfn.XLOOKUP(Table1[[#This Row],[SKU (Product Code)]],'SKU Master'!A:A,'SKU Master'!B:B)</f>
        <v>350</v>
      </c>
      <c r="F69">
        <f>Table1[[#This Row],[Product weight]]*Table1[[#This Row],[Order Qty]]</f>
        <v>350</v>
      </c>
      <c r="G69">
        <f>Table1[[#This Row],[Weight per order (g)]]/1000</f>
        <v>0.35</v>
      </c>
      <c r="H69" s="1">
        <f>CEILING(Table1[[#This Row],[Weight per order (Kg)]],0.5)</f>
        <v>0.5</v>
      </c>
      <c r="I69" t="str">
        <f>_xlfn.XLOOKUP(Table1[[#This Row],[OrderID]],'Courier company invoice'!B:B,'Courier company invoice'!F:F)</f>
        <v>d</v>
      </c>
      <c r="J69" s="1" t="str">
        <f>_xlfn.XLOOKUP(Table1[[#This Row],[OrderID]],Table2[Order ID],Table2[Type of Shipment],"Not Found")</f>
        <v>Forward charges</v>
      </c>
      <c r="K69">
        <f>INDEX(Sheet1[],1,MATCH("fwd_"&amp;Table1[[#This Row],[Zone]]&amp;"_fixed",Sheet1[#Headers],0))</f>
        <v>45.4</v>
      </c>
      <c r="L69">
        <f>INDEX(Sheet1[],1,MATCH("fwd_"&amp;Table1[[#This Row],[Zone]]&amp;"_additional",Sheet1[#Headers],0))</f>
        <v>44.8</v>
      </c>
      <c r="M69" s="1">
        <f>(Table1[[#This Row],[Weight slab]]-0.5)/0.5</f>
        <v>0</v>
      </c>
      <c r="N69" s="1">
        <f>Table1[[#This Row],[Fixed_Charges]]+Table1[[#This Row],[No_of_Extra_slabs]]*Table1[[#This Row],[Additional_Charges]]</f>
        <v>45.4</v>
      </c>
      <c r="O69">
        <f>_xlfn.XLOOKUP(Table1[[#This Row],[OrderID]],'Courier company invoice'!B:B,'Courier company invoice'!H:H)</f>
        <v>90.2</v>
      </c>
      <c r="P69" s="1">
        <f>Table1[[#This Row],[Billing Amount]]-Table1[[#This Row],[Expected charges]]</f>
        <v>44.800000000000004</v>
      </c>
      <c r="Q69" s="1" t="str" cm="1">
        <f t="array" ref="Q6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70" spans="1:17" x14ac:dyDescent="0.3">
      <c r="A70" s="3" t="s">
        <v>24</v>
      </c>
      <c r="B70" s="2">
        <f>Table1[[#This Row],[Order ID]]*1</f>
        <v>2001815688</v>
      </c>
      <c r="C70" s="2">
        <v>8904223816214</v>
      </c>
      <c r="D70">
        <v>1</v>
      </c>
      <c r="E70">
        <f>_xlfn.XLOOKUP(Table1[[#This Row],[SKU (Product Code)]],'SKU Master'!A:A,'SKU Master'!B:B)</f>
        <v>120</v>
      </c>
      <c r="F70">
        <f>Table1[[#This Row],[Product weight]]*Table1[[#This Row],[Order Qty]]</f>
        <v>120</v>
      </c>
      <c r="G70">
        <f>Table1[[#This Row],[Weight per order (g)]]/1000</f>
        <v>0.12</v>
      </c>
      <c r="H70" s="1">
        <f>CEILING(Table1[[#This Row],[Weight per order (Kg)]],0.5)</f>
        <v>0.5</v>
      </c>
      <c r="I70" t="str">
        <f>_xlfn.XLOOKUP(Table1[[#This Row],[OrderID]],'Courier company invoice'!B:B,'Courier company invoice'!F:F)</f>
        <v>d</v>
      </c>
      <c r="J70" s="1" t="str">
        <f>_xlfn.XLOOKUP(Table1[[#This Row],[OrderID]],Table2[Order ID],Table2[Type of Shipment],"Not Found")</f>
        <v>Forward charges</v>
      </c>
      <c r="K70">
        <f>INDEX(Sheet1[],1,MATCH("fwd_"&amp;Table1[[#This Row],[Zone]]&amp;"_fixed",Sheet1[#Headers],0))</f>
        <v>45.4</v>
      </c>
      <c r="L70">
        <f>INDEX(Sheet1[],1,MATCH("fwd_"&amp;Table1[[#This Row],[Zone]]&amp;"_additional",Sheet1[#Headers],0))</f>
        <v>44.8</v>
      </c>
      <c r="M70" s="1">
        <f>(Table1[[#This Row],[Weight slab]]-0.5)/0.5</f>
        <v>0</v>
      </c>
      <c r="N70" s="1">
        <f>Table1[[#This Row],[Fixed_Charges]]+Table1[[#This Row],[No_of_Extra_slabs]]*Table1[[#This Row],[Additional_Charges]]</f>
        <v>45.4</v>
      </c>
      <c r="O70">
        <f>_xlfn.XLOOKUP(Table1[[#This Row],[OrderID]],'Courier company invoice'!B:B,'Courier company invoice'!H:H)</f>
        <v>45.4</v>
      </c>
      <c r="P70" s="1">
        <f>Table1[[#This Row],[Billing Amount]]-Table1[[#This Row],[Expected charges]]</f>
        <v>0</v>
      </c>
      <c r="Q70" s="1" t="str" cm="1">
        <f t="array" ref="Q7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71" spans="1:17" x14ac:dyDescent="0.3">
      <c r="A71" s="3" t="s">
        <v>24</v>
      </c>
      <c r="B71" s="2">
        <f>Table1[[#This Row],[Order ID]]*1</f>
        <v>2001815688</v>
      </c>
      <c r="C71" s="2">
        <v>8904223818874</v>
      </c>
      <c r="D71">
        <v>1</v>
      </c>
      <c r="E71">
        <f>_xlfn.XLOOKUP(Table1[[#This Row],[SKU (Product Code)]],'SKU Master'!A:A,'SKU Master'!B:B)</f>
        <v>100</v>
      </c>
      <c r="F71">
        <f>Table1[[#This Row],[Product weight]]*Table1[[#This Row],[Order Qty]]</f>
        <v>100</v>
      </c>
      <c r="G71">
        <f>Table1[[#This Row],[Weight per order (g)]]/1000</f>
        <v>0.1</v>
      </c>
      <c r="H71" s="1">
        <f>CEILING(Table1[[#This Row],[Weight per order (Kg)]],0.5)</f>
        <v>0.5</v>
      </c>
      <c r="I71" t="str">
        <f>_xlfn.XLOOKUP(Table1[[#This Row],[OrderID]],'Courier company invoice'!B:B,'Courier company invoice'!F:F)</f>
        <v>d</v>
      </c>
      <c r="J71" s="1" t="str">
        <f>_xlfn.XLOOKUP(Table1[[#This Row],[OrderID]],Table2[Order ID],Table2[Type of Shipment],"Not Found")</f>
        <v>Forward charges</v>
      </c>
      <c r="K71">
        <f>INDEX(Sheet1[],1,MATCH("fwd_"&amp;Table1[[#This Row],[Zone]]&amp;"_fixed",Sheet1[#Headers],0))</f>
        <v>45.4</v>
      </c>
      <c r="L71">
        <f>INDEX(Sheet1[],1,MATCH("fwd_"&amp;Table1[[#This Row],[Zone]]&amp;"_additional",Sheet1[#Headers],0))</f>
        <v>44.8</v>
      </c>
      <c r="M71" s="1">
        <f>(Table1[[#This Row],[Weight slab]]-0.5)/0.5</f>
        <v>0</v>
      </c>
      <c r="N71" s="1">
        <f>Table1[[#This Row],[Fixed_Charges]]+Table1[[#This Row],[No_of_Extra_slabs]]*Table1[[#This Row],[Additional_Charges]]</f>
        <v>45.4</v>
      </c>
      <c r="O71">
        <f>_xlfn.XLOOKUP(Table1[[#This Row],[OrderID]],'Courier company invoice'!B:B,'Courier company invoice'!H:H)</f>
        <v>45.4</v>
      </c>
      <c r="P71" s="1">
        <f>Table1[[#This Row],[Billing Amount]]-Table1[[#This Row],[Expected charges]]</f>
        <v>0</v>
      </c>
      <c r="Q71" s="1" t="str" cm="1">
        <f t="array" ref="Q7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72" spans="1:17" x14ac:dyDescent="0.3">
      <c r="A72" s="3" t="s">
        <v>25</v>
      </c>
      <c r="B72" s="2">
        <f>Table1[[#This Row],[Order ID]]*1</f>
        <v>2001814580</v>
      </c>
      <c r="C72" s="2">
        <v>8904223818706</v>
      </c>
      <c r="D72">
        <v>1</v>
      </c>
      <c r="E72">
        <f>_xlfn.XLOOKUP(Table1[[#This Row],[SKU (Product Code)]],'SKU Master'!A:A,'SKU Master'!B:B)</f>
        <v>127</v>
      </c>
      <c r="F72">
        <f>Table1[[#This Row],[Product weight]]*Table1[[#This Row],[Order Qty]]</f>
        <v>127</v>
      </c>
      <c r="G72">
        <f>Table1[[#This Row],[Weight per order (g)]]/1000</f>
        <v>0.127</v>
      </c>
      <c r="H72" s="1">
        <f>CEILING(Table1[[#This Row],[Weight per order (Kg)]],0.5)</f>
        <v>0.5</v>
      </c>
      <c r="I72" t="str">
        <f>_xlfn.XLOOKUP(Table1[[#This Row],[OrderID]],'Courier company invoice'!B:B,'Courier company invoice'!F:F)</f>
        <v>d</v>
      </c>
      <c r="J72" s="1" t="str">
        <f>_xlfn.XLOOKUP(Table1[[#This Row],[OrderID]],Table2[Order ID],Table2[Type of Shipment],"Not Found")</f>
        <v>Forward and RTO charges</v>
      </c>
      <c r="K72">
        <f>INDEX(Sheet1[],1,MATCH("fwd_"&amp;Table1[[#This Row],[Zone]]&amp;"_fixed",Sheet1[#Headers],0))</f>
        <v>45.4</v>
      </c>
      <c r="L72">
        <f>INDEX(Sheet1[],1,MATCH("fwd_"&amp;Table1[[#This Row],[Zone]]&amp;"_additional",Sheet1[#Headers],0))</f>
        <v>44.8</v>
      </c>
      <c r="M72" s="1">
        <f>(Table1[[#This Row],[Weight slab]]-0.5)/0.5</f>
        <v>0</v>
      </c>
      <c r="N72" s="1">
        <f>Table1[[#This Row],[Fixed_Charges]]+Table1[[#This Row],[No_of_Extra_slabs]]*Table1[[#This Row],[Additional_Charges]]</f>
        <v>45.4</v>
      </c>
      <c r="O72">
        <f>_xlfn.XLOOKUP(Table1[[#This Row],[OrderID]],'Courier company invoice'!B:B,'Courier company invoice'!H:H)</f>
        <v>86.7</v>
      </c>
      <c r="P72" s="1">
        <f>Table1[[#This Row],[Billing Amount]]-Table1[[#This Row],[Expected charges]]</f>
        <v>41.300000000000004</v>
      </c>
      <c r="Q72" s="1" t="str" cm="1">
        <f t="array" ref="Q7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73" spans="1:17" x14ac:dyDescent="0.3">
      <c r="A73" s="3" t="s">
        <v>26</v>
      </c>
      <c r="B73" s="2">
        <f>Table1[[#This Row],[Order ID]]*1</f>
        <v>2001813009</v>
      </c>
      <c r="C73" s="2">
        <v>8904223816214</v>
      </c>
      <c r="D73">
        <v>1</v>
      </c>
      <c r="E73">
        <f>_xlfn.XLOOKUP(Table1[[#This Row],[SKU (Product Code)]],'SKU Master'!A:A,'SKU Master'!B:B)</f>
        <v>120</v>
      </c>
      <c r="F73">
        <f>Table1[[#This Row],[Product weight]]*Table1[[#This Row],[Order Qty]]</f>
        <v>120</v>
      </c>
      <c r="G73">
        <f>Table1[[#This Row],[Weight per order (g)]]/1000</f>
        <v>0.12</v>
      </c>
      <c r="H73" s="1">
        <f>CEILING(Table1[[#This Row],[Weight per order (Kg)]],0.5)</f>
        <v>0.5</v>
      </c>
      <c r="I73" t="str">
        <f>_xlfn.XLOOKUP(Table1[[#This Row],[OrderID]],'Courier company invoice'!B:B,'Courier company invoice'!F:F)</f>
        <v>d</v>
      </c>
      <c r="J73" s="1" t="str">
        <f>_xlfn.XLOOKUP(Table1[[#This Row],[OrderID]],Table2[Order ID],Table2[Type of Shipment],"Not Found")</f>
        <v>Forward charges</v>
      </c>
      <c r="K73">
        <f>INDEX(Sheet1[],1,MATCH("fwd_"&amp;Table1[[#This Row],[Zone]]&amp;"_fixed",Sheet1[#Headers],0))</f>
        <v>45.4</v>
      </c>
      <c r="L73">
        <f>INDEX(Sheet1[],1,MATCH("fwd_"&amp;Table1[[#This Row],[Zone]]&amp;"_additional",Sheet1[#Headers],0))</f>
        <v>44.8</v>
      </c>
      <c r="M73" s="1">
        <f>(Table1[[#This Row],[Weight slab]]-0.5)/0.5</f>
        <v>0</v>
      </c>
      <c r="N73" s="1">
        <f>Table1[[#This Row],[Fixed_Charges]]+Table1[[#This Row],[No_of_Extra_slabs]]*Table1[[#This Row],[Additional_Charges]]</f>
        <v>45.4</v>
      </c>
      <c r="O73">
        <f>_xlfn.XLOOKUP(Table1[[#This Row],[OrderID]],'Courier company invoice'!B:B,'Courier company invoice'!H:H)</f>
        <v>90.2</v>
      </c>
      <c r="P73" s="1">
        <f>Table1[[#This Row],[Billing Amount]]-Table1[[#This Row],[Expected charges]]</f>
        <v>44.800000000000004</v>
      </c>
      <c r="Q73" s="1" t="str" cm="1">
        <f t="array" ref="Q7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74" spans="1:17" x14ac:dyDescent="0.3">
      <c r="A74" s="3" t="s">
        <v>26</v>
      </c>
      <c r="B74" s="2">
        <f>Table1[[#This Row],[Order ID]]*1</f>
        <v>2001813009</v>
      </c>
      <c r="C74" s="2">
        <v>8904223818874</v>
      </c>
      <c r="D74">
        <v>1</v>
      </c>
      <c r="E74">
        <f>_xlfn.XLOOKUP(Table1[[#This Row],[SKU (Product Code)]],'SKU Master'!A:A,'SKU Master'!B:B)</f>
        <v>100</v>
      </c>
      <c r="F74">
        <f>Table1[[#This Row],[Product weight]]*Table1[[#This Row],[Order Qty]]</f>
        <v>100</v>
      </c>
      <c r="G74">
        <f>Table1[[#This Row],[Weight per order (g)]]/1000</f>
        <v>0.1</v>
      </c>
      <c r="H74" s="1">
        <f>CEILING(Table1[[#This Row],[Weight per order (Kg)]],0.5)</f>
        <v>0.5</v>
      </c>
      <c r="I74" t="str">
        <f>_xlfn.XLOOKUP(Table1[[#This Row],[OrderID]],'Courier company invoice'!B:B,'Courier company invoice'!F:F)</f>
        <v>d</v>
      </c>
      <c r="J74" s="1" t="str">
        <f>_xlfn.XLOOKUP(Table1[[#This Row],[OrderID]],Table2[Order ID],Table2[Type of Shipment],"Not Found")</f>
        <v>Forward charges</v>
      </c>
      <c r="K74">
        <f>INDEX(Sheet1[],1,MATCH("fwd_"&amp;Table1[[#This Row],[Zone]]&amp;"_fixed",Sheet1[#Headers],0))</f>
        <v>45.4</v>
      </c>
      <c r="L74">
        <f>INDEX(Sheet1[],1,MATCH("fwd_"&amp;Table1[[#This Row],[Zone]]&amp;"_additional",Sheet1[#Headers],0))</f>
        <v>44.8</v>
      </c>
      <c r="M74" s="1">
        <f>(Table1[[#This Row],[Weight slab]]-0.5)/0.5</f>
        <v>0</v>
      </c>
      <c r="N74" s="1">
        <f>Table1[[#This Row],[Fixed_Charges]]+Table1[[#This Row],[No_of_Extra_slabs]]*Table1[[#This Row],[Additional_Charges]]</f>
        <v>45.4</v>
      </c>
      <c r="O74">
        <f>_xlfn.XLOOKUP(Table1[[#This Row],[OrderID]],'Courier company invoice'!B:B,'Courier company invoice'!H:H)</f>
        <v>90.2</v>
      </c>
      <c r="P74" s="1">
        <f>Table1[[#This Row],[Billing Amount]]-Table1[[#This Row],[Expected charges]]</f>
        <v>44.800000000000004</v>
      </c>
      <c r="Q74" s="1" t="str" cm="1">
        <f t="array" ref="Q7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75" spans="1:17" x14ac:dyDescent="0.3">
      <c r="A75" s="3" t="s">
        <v>26</v>
      </c>
      <c r="B75" s="2">
        <f>Table1[[#This Row],[Order ID]]*1</f>
        <v>2001813009</v>
      </c>
      <c r="C75" s="2">
        <v>8904223818706</v>
      </c>
      <c r="D75">
        <v>1</v>
      </c>
      <c r="E75">
        <f>_xlfn.XLOOKUP(Table1[[#This Row],[SKU (Product Code)]],'SKU Master'!A:A,'SKU Master'!B:B)</f>
        <v>127</v>
      </c>
      <c r="F75">
        <f>Table1[[#This Row],[Product weight]]*Table1[[#This Row],[Order Qty]]</f>
        <v>127</v>
      </c>
      <c r="G75">
        <f>Table1[[#This Row],[Weight per order (g)]]/1000</f>
        <v>0.127</v>
      </c>
      <c r="H75" s="1">
        <f>CEILING(Table1[[#This Row],[Weight per order (Kg)]],0.5)</f>
        <v>0.5</v>
      </c>
      <c r="I75" t="str">
        <f>_xlfn.XLOOKUP(Table1[[#This Row],[OrderID]],'Courier company invoice'!B:B,'Courier company invoice'!F:F)</f>
        <v>d</v>
      </c>
      <c r="J75" s="1" t="str">
        <f>_xlfn.XLOOKUP(Table1[[#This Row],[OrderID]],Table2[Order ID],Table2[Type of Shipment],"Not Found")</f>
        <v>Forward charges</v>
      </c>
      <c r="K75">
        <f>INDEX(Sheet1[],1,MATCH("fwd_"&amp;Table1[[#This Row],[Zone]]&amp;"_fixed",Sheet1[#Headers],0))</f>
        <v>45.4</v>
      </c>
      <c r="L75">
        <f>INDEX(Sheet1[],1,MATCH("fwd_"&amp;Table1[[#This Row],[Zone]]&amp;"_additional",Sheet1[#Headers],0))</f>
        <v>44.8</v>
      </c>
      <c r="M75" s="1">
        <f>(Table1[[#This Row],[Weight slab]]-0.5)/0.5</f>
        <v>0</v>
      </c>
      <c r="N75" s="1">
        <f>Table1[[#This Row],[Fixed_Charges]]+Table1[[#This Row],[No_of_Extra_slabs]]*Table1[[#This Row],[Additional_Charges]]</f>
        <v>45.4</v>
      </c>
      <c r="O75">
        <f>_xlfn.XLOOKUP(Table1[[#This Row],[OrderID]],'Courier company invoice'!B:B,'Courier company invoice'!H:H)</f>
        <v>90.2</v>
      </c>
      <c r="P75" s="1">
        <f>Table1[[#This Row],[Billing Amount]]-Table1[[#This Row],[Expected charges]]</f>
        <v>44.800000000000004</v>
      </c>
      <c r="Q75" s="1" t="str" cm="1">
        <f t="array" ref="Q7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76" spans="1:17" x14ac:dyDescent="0.3">
      <c r="A76" s="3" t="s">
        <v>26</v>
      </c>
      <c r="B76" s="2">
        <f>Table1[[#This Row],[Order ID]]*1</f>
        <v>2001813009</v>
      </c>
      <c r="C76" s="2">
        <v>8904223818942</v>
      </c>
      <c r="D76">
        <v>1</v>
      </c>
      <c r="E76">
        <f>_xlfn.XLOOKUP(Table1[[#This Row],[SKU (Product Code)]],'SKU Master'!A:A,'SKU Master'!B:B)</f>
        <v>133</v>
      </c>
      <c r="F76">
        <f>Table1[[#This Row],[Product weight]]*Table1[[#This Row],[Order Qty]]</f>
        <v>133</v>
      </c>
      <c r="G76">
        <f>Table1[[#This Row],[Weight per order (g)]]/1000</f>
        <v>0.13300000000000001</v>
      </c>
      <c r="H76" s="1">
        <f>CEILING(Table1[[#This Row],[Weight per order (Kg)]],0.5)</f>
        <v>0.5</v>
      </c>
      <c r="I76" t="str">
        <f>_xlfn.XLOOKUP(Table1[[#This Row],[OrderID]],'Courier company invoice'!B:B,'Courier company invoice'!F:F)</f>
        <v>d</v>
      </c>
      <c r="J76" s="1" t="str">
        <f>_xlfn.XLOOKUP(Table1[[#This Row],[OrderID]],Table2[Order ID],Table2[Type of Shipment],"Not Found")</f>
        <v>Forward charges</v>
      </c>
      <c r="K76">
        <f>INDEX(Sheet1[],1,MATCH("fwd_"&amp;Table1[[#This Row],[Zone]]&amp;"_fixed",Sheet1[#Headers],0))</f>
        <v>45.4</v>
      </c>
      <c r="L76">
        <f>INDEX(Sheet1[],1,MATCH("fwd_"&amp;Table1[[#This Row],[Zone]]&amp;"_additional",Sheet1[#Headers],0))</f>
        <v>44.8</v>
      </c>
      <c r="M76" s="1">
        <f>(Table1[[#This Row],[Weight slab]]-0.5)/0.5</f>
        <v>0</v>
      </c>
      <c r="N76" s="1">
        <f>Table1[[#This Row],[Fixed_Charges]]+Table1[[#This Row],[No_of_Extra_slabs]]*Table1[[#This Row],[Additional_Charges]]</f>
        <v>45.4</v>
      </c>
      <c r="O76">
        <f>_xlfn.XLOOKUP(Table1[[#This Row],[OrderID]],'Courier company invoice'!B:B,'Courier company invoice'!H:H)</f>
        <v>90.2</v>
      </c>
      <c r="P76" s="1">
        <f>Table1[[#This Row],[Billing Amount]]-Table1[[#This Row],[Expected charges]]</f>
        <v>44.800000000000004</v>
      </c>
      <c r="Q76" s="1" t="str" cm="1">
        <f t="array" ref="Q7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77" spans="1:17" x14ac:dyDescent="0.3">
      <c r="A77" s="3" t="s">
        <v>26</v>
      </c>
      <c r="B77" s="2">
        <f>Table1[[#This Row],[Order ID]]*1</f>
        <v>2001813009</v>
      </c>
      <c r="C77" s="2">
        <v>8904223818850</v>
      </c>
      <c r="D77">
        <v>1</v>
      </c>
      <c r="E77">
        <f>_xlfn.XLOOKUP(Table1[[#This Row],[SKU (Product Code)]],'SKU Master'!A:A,'SKU Master'!B:B)</f>
        <v>240</v>
      </c>
      <c r="F77">
        <f>Table1[[#This Row],[Product weight]]*Table1[[#This Row],[Order Qty]]</f>
        <v>240</v>
      </c>
      <c r="G77">
        <f>Table1[[#This Row],[Weight per order (g)]]/1000</f>
        <v>0.24</v>
      </c>
      <c r="H77" s="1">
        <f>CEILING(Table1[[#This Row],[Weight per order (Kg)]],0.5)</f>
        <v>0.5</v>
      </c>
      <c r="I77" t="str">
        <f>_xlfn.XLOOKUP(Table1[[#This Row],[OrderID]],'Courier company invoice'!B:B,'Courier company invoice'!F:F)</f>
        <v>d</v>
      </c>
      <c r="J77" s="1" t="str">
        <f>_xlfn.XLOOKUP(Table1[[#This Row],[OrderID]],Table2[Order ID],Table2[Type of Shipment],"Not Found")</f>
        <v>Forward charges</v>
      </c>
      <c r="K77">
        <f>INDEX(Sheet1[],1,MATCH("fwd_"&amp;Table1[[#This Row],[Zone]]&amp;"_fixed",Sheet1[#Headers],0))</f>
        <v>45.4</v>
      </c>
      <c r="L77">
        <f>INDEX(Sheet1[],1,MATCH("fwd_"&amp;Table1[[#This Row],[Zone]]&amp;"_additional",Sheet1[#Headers],0))</f>
        <v>44.8</v>
      </c>
      <c r="M77" s="1">
        <f>(Table1[[#This Row],[Weight slab]]-0.5)/0.5</f>
        <v>0</v>
      </c>
      <c r="N77" s="1">
        <f>Table1[[#This Row],[Fixed_Charges]]+Table1[[#This Row],[No_of_Extra_slabs]]*Table1[[#This Row],[Additional_Charges]]</f>
        <v>45.4</v>
      </c>
      <c r="O77">
        <f>_xlfn.XLOOKUP(Table1[[#This Row],[OrderID]],'Courier company invoice'!B:B,'Courier company invoice'!H:H)</f>
        <v>90.2</v>
      </c>
      <c r="P77" s="1">
        <f>Table1[[#This Row],[Billing Amount]]-Table1[[#This Row],[Expected charges]]</f>
        <v>44.800000000000004</v>
      </c>
      <c r="Q77" s="1" t="str" cm="1">
        <f t="array" ref="Q7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78" spans="1:17" x14ac:dyDescent="0.3">
      <c r="A78" s="3" t="s">
        <v>27</v>
      </c>
      <c r="B78" s="2">
        <f>Table1[[#This Row],[Order ID]]*1</f>
        <v>2001812941</v>
      </c>
      <c r="C78" s="2">
        <v>8904223818706</v>
      </c>
      <c r="D78">
        <v>1</v>
      </c>
      <c r="E78">
        <f>_xlfn.XLOOKUP(Table1[[#This Row],[SKU (Product Code)]],'SKU Master'!A:A,'SKU Master'!B:B)</f>
        <v>127</v>
      </c>
      <c r="F78">
        <f>Table1[[#This Row],[Product weight]]*Table1[[#This Row],[Order Qty]]</f>
        <v>127</v>
      </c>
      <c r="G78">
        <f>Table1[[#This Row],[Weight per order (g)]]/1000</f>
        <v>0.127</v>
      </c>
      <c r="H78" s="1">
        <f>CEILING(Table1[[#This Row],[Weight per order (Kg)]],0.5)</f>
        <v>0.5</v>
      </c>
      <c r="I78" t="str">
        <f>_xlfn.XLOOKUP(Table1[[#This Row],[OrderID]],'Courier company invoice'!B:B,'Courier company invoice'!F:F)</f>
        <v>d</v>
      </c>
      <c r="J78" s="1" t="str">
        <f>_xlfn.XLOOKUP(Table1[[#This Row],[OrderID]],Table2[Order ID],Table2[Type of Shipment],"Not Found")</f>
        <v>Forward charges</v>
      </c>
      <c r="K78">
        <f>INDEX(Sheet1[],1,MATCH("fwd_"&amp;Table1[[#This Row],[Zone]]&amp;"_fixed",Sheet1[#Headers],0))</f>
        <v>45.4</v>
      </c>
      <c r="L78">
        <f>INDEX(Sheet1[],1,MATCH("fwd_"&amp;Table1[[#This Row],[Zone]]&amp;"_additional",Sheet1[#Headers],0))</f>
        <v>44.8</v>
      </c>
      <c r="M78" s="1">
        <f>(Table1[[#This Row],[Weight slab]]-0.5)/0.5</f>
        <v>0</v>
      </c>
      <c r="N78" s="1">
        <f>Table1[[#This Row],[Fixed_Charges]]+Table1[[#This Row],[No_of_Extra_slabs]]*Table1[[#This Row],[Additional_Charges]]</f>
        <v>45.4</v>
      </c>
      <c r="O78">
        <f>_xlfn.XLOOKUP(Table1[[#This Row],[OrderID]],'Courier company invoice'!B:B,'Courier company invoice'!H:H)</f>
        <v>90.2</v>
      </c>
      <c r="P78" s="1">
        <f>Table1[[#This Row],[Billing Amount]]-Table1[[#This Row],[Expected charges]]</f>
        <v>44.800000000000004</v>
      </c>
      <c r="Q78" s="1" t="str" cm="1">
        <f t="array" ref="Q7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79" spans="1:17" x14ac:dyDescent="0.3">
      <c r="A79" s="3" t="s">
        <v>27</v>
      </c>
      <c r="B79" s="2">
        <f>Table1[[#This Row],[Order ID]]*1</f>
        <v>2001812941</v>
      </c>
      <c r="C79" s="2">
        <v>8904223818942</v>
      </c>
      <c r="D79">
        <v>1</v>
      </c>
      <c r="E79">
        <f>_xlfn.XLOOKUP(Table1[[#This Row],[SKU (Product Code)]],'SKU Master'!A:A,'SKU Master'!B:B)</f>
        <v>133</v>
      </c>
      <c r="F79">
        <f>Table1[[#This Row],[Product weight]]*Table1[[#This Row],[Order Qty]]</f>
        <v>133</v>
      </c>
      <c r="G79">
        <f>Table1[[#This Row],[Weight per order (g)]]/1000</f>
        <v>0.13300000000000001</v>
      </c>
      <c r="H79" s="1">
        <f>CEILING(Table1[[#This Row],[Weight per order (Kg)]],0.5)</f>
        <v>0.5</v>
      </c>
      <c r="I79" t="str">
        <f>_xlfn.XLOOKUP(Table1[[#This Row],[OrderID]],'Courier company invoice'!B:B,'Courier company invoice'!F:F)</f>
        <v>d</v>
      </c>
      <c r="J79" s="1" t="str">
        <f>_xlfn.XLOOKUP(Table1[[#This Row],[OrderID]],Table2[Order ID],Table2[Type of Shipment],"Not Found")</f>
        <v>Forward charges</v>
      </c>
      <c r="K79">
        <f>INDEX(Sheet1[],1,MATCH("fwd_"&amp;Table1[[#This Row],[Zone]]&amp;"_fixed",Sheet1[#Headers],0))</f>
        <v>45.4</v>
      </c>
      <c r="L79">
        <f>INDEX(Sheet1[],1,MATCH("fwd_"&amp;Table1[[#This Row],[Zone]]&amp;"_additional",Sheet1[#Headers],0))</f>
        <v>44.8</v>
      </c>
      <c r="M79" s="1">
        <f>(Table1[[#This Row],[Weight slab]]-0.5)/0.5</f>
        <v>0</v>
      </c>
      <c r="N79" s="1">
        <f>Table1[[#This Row],[Fixed_Charges]]+Table1[[#This Row],[No_of_Extra_slabs]]*Table1[[#This Row],[Additional_Charges]]</f>
        <v>45.4</v>
      </c>
      <c r="O79">
        <f>_xlfn.XLOOKUP(Table1[[#This Row],[OrderID]],'Courier company invoice'!B:B,'Courier company invoice'!H:H)</f>
        <v>90.2</v>
      </c>
      <c r="P79" s="1">
        <f>Table1[[#This Row],[Billing Amount]]-Table1[[#This Row],[Expected charges]]</f>
        <v>44.800000000000004</v>
      </c>
      <c r="Q79" s="1" t="str" cm="1">
        <f t="array" ref="Q7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80" spans="1:17" x14ac:dyDescent="0.3">
      <c r="A80" s="3" t="s">
        <v>27</v>
      </c>
      <c r="B80" s="2">
        <f>Table1[[#This Row],[Order ID]]*1</f>
        <v>2001812941</v>
      </c>
      <c r="C80" s="2">
        <v>8904223818850</v>
      </c>
      <c r="D80">
        <v>1</v>
      </c>
      <c r="E80">
        <f>_xlfn.XLOOKUP(Table1[[#This Row],[SKU (Product Code)]],'SKU Master'!A:A,'SKU Master'!B:B)</f>
        <v>240</v>
      </c>
      <c r="F80">
        <f>Table1[[#This Row],[Product weight]]*Table1[[#This Row],[Order Qty]]</f>
        <v>240</v>
      </c>
      <c r="G80">
        <f>Table1[[#This Row],[Weight per order (g)]]/1000</f>
        <v>0.24</v>
      </c>
      <c r="H80" s="1">
        <f>CEILING(Table1[[#This Row],[Weight per order (Kg)]],0.5)</f>
        <v>0.5</v>
      </c>
      <c r="I80" t="str">
        <f>_xlfn.XLOOKUP(Table1[[#This Row],[OrderID]],'Courier company invoice'!B:B,'Courier company invoice'!F:F)</f>
        <v>d</v>
      </c>
      <c r="J80" s="1" t="str">
        <f>_xlfn.XLOOKUP(Table1[[#This Row],[OrderID]],Table2[Order ID],Table2[Type of Shipment],"Not Found")</f>
        <v>Forward charges</v>
      </c>
      <c r="K80">
        <f>INDEX(Sheet1[],1,MATCH("fwd_"&amp;Table1[[#This Row],[Zone]]&amp;"_fixed",Sheet1[#Headers],0))</f>
        <v>45.4</v>
      </c>
      <c r="L80">
        <f>INDEX(Sheet1[],1,MATCH("fwd_"&amp;Table1[[#This Row],[Zone]]&amp;"_additional",Sheet1[#Headers],0))</f>
        <v>44.8</v>
      </c>
      <c r="M80" s="1">
        <f>(Table1[[#This Row],[Weight slab]]-0.5)/0.5</f>
        <v>0</v>
      </c>
      <c r="N80" s="1">
        <f>Table1[[#This Row],[Fixed_Charges]]+Table1[[#This Row],[No_of_Extra_slabs]]*Table1[[#This Row],[Additional_Charges]]</f>
        <v>45.4</v>
      </c>
      <c r="O80">
        <f>_xlfn.XLOOKUP(Table1[[#This Row],[OrderID]],'Courier company invoice'!B:B,'Courier company invoice'!H:H)</f>
        <v>90.2</v>
      </c>
      <c r="P80" s="1">
        <f>Table1[[#This Row],[Billing Amount]]-Table1[[#This Row],[Expected charges]]</f>
        <v>44.800000000000004</v>
      </c>
      <c r="Q80" s="1" t="str" cm="1">
        <f t="array" ref="Q8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81" spans="1:17" x14ac:dyDescent="0.3">
      <c r="A81" s="3" t="s">
        <v>28</v>
      </c>
      <c r="B81" s="2">
        <f>Table1[[#This Row],[Order ID]]*1</f>
        <v>2001812854</v>
      </c>
      <c r="C81" s="2">
        <v>8904223818478</v>
      </c>
      <c r="D81">
        <v>1</v>
      </c>
      <c r="E81">
        <f>_xlfn.XLOOKUP(Table1[[#This Row],[SKU (Product Code)]],'SKU Master'!A:A,'SKU Master'!B:B)</f>
        <v>350</v>
      </c>
      <c r="F81">
        <f>Table1[[#This Row],[Product weight]]*Table1[[#This Row],[Order Qty]]</f>
        <v>350</v>
      </c>
      <c r="G81">
        <f>Table1[[#This Row],[Weight per order (g)]]/1000</f>
        <v>0.35</v>
      </c>
      <c r="H81" s="1">
        <f>CEILING(Table1[[#This Row],[Weight per order (Kg)]],0.5)</f>
        <v>0.5</v>
      </c>
      <c r="I81" t="str">
        <f>_xlfn.XLOOKUP(Table1[[#This Row],[OrderID]],'Courier company invoice'!B:B,'Courier company invoice'!F:F)</f>
        <v>d</v>
      </c>
      <c r="J81" s="1" t="str">
        <f>_xlfn.XLOOKUP(Table1[[#This Row],[OrderID]],Table2[Order ID],Table2[Type of Shipment],"Not Found")</f>
        <v>Forward charges</v>
      </c>
      <c r="K81">
        <f>INDEX(Sheet1[],1,MATCH("fwd_"&amp;Table1[[#This Row],[Zone]]&amp;"_fixed",Sheet1[#Headers],0))</f>
        <v>45.4</v>
      </c>
      <c r="L81">
        <f>INDEX(Sheet1[],1,MATCH("fwd_"&amp;Table1[[#This Row],[Zone]]&amp;"_additional",Sheet1[#Headers],0))</f>
        <v>44.8</v>
      </c>
      <c r="M81" s="1">
        <f>(Table1[[#This Row],[Weight slab]]-0.5)/0.5</f>
        <v>0</v>
      </c>
      <c r="N81" s="1">
        <f>Table1[[#This Row],[Fixed_Charges]]+Table1[[#This Row],[No_of_Extra_slabs]]*Table1[[#This Row],[Additional_Charges]]</f>
        <v>45.4</v>
      </c>
      <c r="O81">
        <f>_xlfn.XLOOKUP(Table1[[#This Row],[OrderID]],'Courier company invoice'!B:B,'Courier company invoice'!H:H)</f>
        <v>269.39999999999998</v>
      </c>
      <c r="P81" s="1">
        <f>Table1[[#This Row],[Billing Amount]]-Table1[[#This Row],[Expected charges]]</f>
        <v>223.99999999999997</v>
      </c>
      <c r="Q81" s="1" t="str" cm="1">
        <f t="array" ref="Q8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82" spans="1:17" x14ac:dyDescent="0.3">
      <c r="A82" s="3" t="s">
        <v>28</v>
      </c>
      <c r="B82" s="2">
        <f>Table1[[#This Row],[Order ID]]*1</f>
        <v>2001812854</v>
      </c>
      <c r="C82" s="2">
        <v>8904223819130</v>
      </c>
      <c r="D82">
        <v>1</v>
      </c>
      <c r="E82">
        <f>_xlfn.XLOOKUP(Table1[[#This Row],[SKU (Product Code)]],'SKU Master'!A:A,'SKU Master'!B:B)</f>
        <v>350</v>
      </c>
      <c r="F82">
        <f>Table1[[#This Row],[Product weight]]*Table1[[#This Row],[Order Qty]]</f>
        <v>350</v>
      </c>
      <c r="G82">
        <f>Table1[[#This Row],[Weight per order (g)]]/1000</f>
        <v>0.35</v>
      </c>
      <c r="H82" s="1">
        <f>CEILING(Table1[[#This Row],[Weight per order (Kg)]],0.5)</f>
        <v>0.5</v>
      </c>
      <c r="I82" t="str">
        <f>_xlfn.XLOOKUP(Table1[[#This Row],[OrderID]],'Courier company invoice'!B:B,'Courier company invoice'!F:F)</f>
        <v>d</v>
      </c>
      <c r="J82" s="1" t="str">
        <f>_xlfn.XLOOKUP(Table1[[#This Row],[OrderID]],Table2[Order ID],Table2[Type of Shipment],"Not Found")</f>
        <v>Forward charges</v>
      </c>
      <c r="K82">
        <f>INDEX(Sheet1[],1,MATCH("fwd_"&amp;Table1[[#This Row],[Zone]]&amp;"_fixed",Sheet1[#Headers],0))</f>
        <v>45.4</v>
      </c>
      <c r="L82">
        <f>INDEX(Sheet1[],1,MATCH("fwd_"&amp;Table1[[#This Row],[Zone]]&amp;"_additional",Sheet1[#Headers],0))</f>
        <v>44.8</v>
      </c>
      <c r="M82" s="1">
        <f>(Table1[[#This Row],[Weight slab]]-0.5)/0.5</f>
        <v>0</v>
      </c>
      <c r="N82" s="1">
        <f>Table1[[#This Row],[Fixed_Charges]]+Table1[[#This Row],[No_of_Extra_slabs]]*Table1[[#This Row],[Additional_Charges]]</f>
        <v>45.4</v>
      </c>
      <c r="O82">
        <f>_xlfn.XLOOKUP(Table1[[#This Row],[OrderID]],'Courier company invoice'!B:B,'Courier company invoice'!H:H)</f>
        <v>269.39999999999998</v>
      </c>
      <c r="P82" s="1">
        <f>Table1[[#This Row],[Billing Amount]]-Table1[[#This Row],[Expected charges]]</f>
        <v>223.99999999999997</v>
      </c>
      <c r="Q82" s="1" t="str" cm="1">
        <f t="array" ref="Q8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83" spans="1:17" x14ac:dyDescent="0.3">
      <c r="A83" s="3" t="s">
        <v>28</v>
      </c>
      <c r="B83" s="2">
        <f>Table1[[#This Row],[Order ID]]*1</f>
        <v>2001812854</v>
      </c>
      <c r="C83" s="2">
        <v>8904223819277</v>
      </c>
      <c r="D83">
        <v>1</v>
      </c>
      <c r="E83">
        <f>_xlfn.XLOOKUP(Table1[[#This Row],[SKU (Product Code)]],'SKU Master'!A:A,'SKU Master'!B:B)</f>
        <v>350</v>
      </c>
      <c r="F83">
        <f>Table1[[#This Row],[Product weight]]*Table1[[#This Row],[Order Qty]]</f>
        <v>350</v>
      </c>
      <c r="G83">
        <f>Table1[[#This Row],[Weight per order (g)]]/1000</f>
        <v>0.35</v>
      </c>
      <c r="H83" s="1">
        <f>CEILING(Table1[[#This Row],[Weight per order (Kg)]],0.5)</f>
        <v>0.5</v>
      </c>
      <c r="I83" t="str">
        <f>_xlfn.XLOOKUP(Table1[[#This Row],[OrderID]],'Courier company invoice'!B:B,'Courier company invoice'!F:F)</f>
        <v>d</v>
      </c>
      <c r="J83" s="1" t="str">
        <f>_xlfn.XLOOKUP(Table1[[#This Row],[OrderID]],Table2[Order ID],Table2[Type of Shipment],"Not Found")</f>
        <v>Forward charges</v>
      </c>
      <c r="K83">
        <f>INDEX(Sheet1[],1,MATCH("fwd_"&amp;Table1[[#This Row],[Zone]]&amp;"_fixed",Sheet1[#Headers],0))</f>
        <v>45.4</v>
      </c>
      <c r="L83">
        <f>INDEX(Sheet1[],1,MATCH("fwd_"&amp;Table1[[#This Row],[Zone]]&amp;"_additional",Sheet1[#Headers],0))</f>
        <v>44.8</v>
      </c>
      <c r="M83" s="1">
        <f>(Table1[[#This Row],[Weight slab]]-0.5)/0.5</f>
        <v>0</v>
      </c>
      <c r="N83" s="1">
        <f>Table1[[#This Row],[Fixed_Charges]]+Table1[[#This Row],[No_of_Extra_slabs]]*Table1[[#This Row],[Additional_Charges]]</f>
        <v>45.4</v>
      </c>
      <c r="O83">
        <f>_xlfn.XLOOKUP(Table1[[#This Row],[OrderID]],'Courier company invoice'!B:B,'Courier company invoice'!H:H)</f>
        <v>269.39999999999998</v>
      </c>
      <c r="P83" s="1">
        <f>Table1[[#This Row],[Billing Amount]]-Table1[[#This Row],[Expected charges]]</f>
        <v>223.99999999999997</v>
      </c>
      <c r="Q83" s="1" t="str" cm="1">
        <f t="array" ref="Q8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84" spans="1:17" x14ac:dyDescent="0.3">
      <c r="A84" s="3" t="s">
        <v>28</v>
      </c>
      <c r="B84" s="2">
        <f>Table1[[#This Row],[Order ID]]*1</f>
        <v>2001812854</v>
      </c>
      <c r="C84" s="2">
        <v>8904223819284</v>
      </c>
      <c r="D84">
        <v>1</v>
      </c>
      <c r="E84">
        <f>_xlfn.XLOOKUP(Table1[[#This Row],[SKU (Product Code)]],'SKU Master'!A:A,'SKU Master'!B:B)</f>
        <v>350</v>
      </c>
      <c r="F84">
        <f>Table1[[#This Row],[Product weight]]*Table1[[#This Row],[Order Qty]]</f>
        <v>350</v>
      </c>
      <c r="G84">
        <f>Table1[[#This Row],[Weight per order (g)]]/1000</f>
        <v>0.35</v>
      </c>
      <c r="H84" s="1">
        <f>CEILING(Table1[[#This Row],[Weight per order (Kg)]],0.5)</f>
        <v>0.5</v>
      </c>
      <c r="I84" t="str">
        <f>_xlfn.XLOOKUP(Table1[[#This Row],[OrderID]],'Courier company invoice'!B:B,'Courier company invoice'!F:F)</f>
        <v>d</v>
      </c>
      <c r="J84" s="1" t="str">
        <f>_xlfn.XLOOKUP(Table1[[#This Row],[OrderID]],Table2[Order ID],Table2[Type of Shipment],"Not Found")</f>
        <v>Forward charges</v>
      </c>
      <c r="K84">
        <f>INDEX(Sheet1[],1,MATCH("fwd_"&amp;Table1[[#This Row],[Zone]]&amp;"_fixed",Sheet1[#Headers],0))</f>
        <v>45.4</v>
      </c>
      <c r="L84">
        <f>INDEX(Sheet1[],1,MATCH("fwd_"&amp;Table1[[#This Row],[Zone]]&amp;"_additional",Sheet1[#Headers],0))</f>
        <v>44.8</v>
      </c>
      <c r="M84" s="1">
        <f>(Table1[[#This Row],[Weight slab]]-0.5)/0.5</f>
        <v>0</v>
      </c>
      <c r="N84" s="1">
        <f>Table1[[#This Row],[Fixed_Charges]]+Table1[[#This Row],[No_of_Extra_slabs]]*Table1[[#This Row],[Additional_Charges]]</f>
        <v>45.4</v>
      </c>
      <c r="O84">
        <f>_xlfn.XLOOKUP(Table1[[#This Row],[OrderID]],'Courier company invoice'!B:B,'Courier company invoice'!H:H)</f>
        <v>269.39999999999998</v>
      </c>
      <c r="P84" s="1">
        <f>Table1[[#This Row],[Billing Amount]]-Table1[[#This Row],[Expected charges]]</f>
        <v>223.99999999999997</v>
      </c>
      <c r="Q84" s="1" t="str" cm="1">
        <f t="array" ref="Q8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85" spans="1:17" x14ac:dyDescent="0.3">
      <c r="A85" s="3" t="s">
        <v>28</v>
      </c>
      <c r="B85" s="2">
        <f>Table1[[#This Row],[Order ID]]*1</f>
        <v>2001812854</v>
      </c>
      <c r="C85" s="2" t="s">
        <v>29</v>
      </c>
      <c r="D85">
        <v>1</v>
      </c>
      <c r="E85">
        <f>_xlfn.XLOOKUP(Table1[[#This Row],[SKU (Product Code)]],'SKU Master'!A:A,'SKU Master'!B:B)</f>
        <v>500</v>
      </c>
      <c r="F85">
        <f>Table1[[#This Row],[Product weight]]*Table1[[#This Row],[Order Qty]]</f>
        <v>500</v>
      </c>
      <c r="G85">
        <f>Table1[[#This Row],[Weight per order (g)]]/1000</f>
        <v>0.5</v>
      </c>
      <c r="H85" s="1">
        <f>CEILING(Table1[[#This Row],[Weight per order (Kg)]],0.5)</f>
        <v>0.5</v>
      </c>
      <c r="I85" t="str">
        <f>_xlfn.XLOOKUP(Table1[[#This Row],[OrderID]],'Courier company invoice'!B:B,'Courier company invoice'!F:F)</f>
        <v>d</v>
      </c>
      <c r="J85" s="1" t="str">
        <f>_xlfn.XLOOKUP(Table1[[#This Row],[OrderID]],Table2[Order ID],Table2[Type of Shipment],"Not Found")</f>
        <v>Forward charges</v>
      </c>
      <c r="K85">
        <f>INDEX(Sheet1[],1,MATCH("fwd_"&amp;Table1[[#This Row],[Zone]]&amp;"_fixed",Sheet1[#Headers],0))</f>
        <v>45.4</v>
      </c>
      <c r="L85">
        <f>INDEX(Sheet1[],1,MATCH("fwd_"&amp;Table1[[#This Row],[Zone]]&amp;"_additional",Sheet1[#Headers],0))</f>
        <v>44.8</v>
      </c>
      <c r="M85" s="1">
        <f>(Table1[[#This Row],[Weight slab]]-0.5)/0.5</f>
        <v>0</v>
      </c>
      <c r="N85" s="1">
        <f>Table1[[#This Row],[Fixed_Charges]]+Table1[[#This Row],[No_of_Extra_slabs]]*Table1[[#This Row],[Additional_Charges]]</f>
        <v>45.4</v>
      </c>
      <c r="O85">
        <f>_xlfn.XLOOKUP(Table1[[#This Row],[OrderID]],'Courier company invoice'!B:B,'Courier company invoice'!H:H)</f>
        <v>269.39999999999998</v>
      </c>
      <c r="P85" s="1">
        <f>Table1[[#This Row],[Billing Amount]]-Table1[[#This Row],[Expected charges]]</f>
        <v>223.99999999999997</v>
      </c>
      <c r="Q85" s="1" t="str" cm="1">
        <f t="array" ref="Q8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86" spans="1:17" x14ac:dyDescent="0.3">
      <c r="A86" s="3" t="s">
        <v>28</v>
      </c>
      <c r="B86" s="2">
        <f>Table1[[#This Row],[Order ID]]*1</f>
        <v>2001812854</v>
      </c>
      <c r="C86" s="2">
        <v>8904223819291</v>
      </c>
      <c r="D86">
        <v>2</v>
      </c>
      <c r="E86">
        <f>_xlfn.XLOOKUP(Table1[[#This Row],[SKU (Product Code)]],'SKU Master'!A:A,'SKU Master'!B:B)</f>
        <v>112</v>
      </c>
      <c r="F86">
        <f>Table1[[#This Row],[Product weight]]*Table1[[#This Row],[Order Qty]]</f>
        <v>224</v>
      </c>
      <c r="G86">
        <f>Table1[[#This Row],[Weight per order (g)]]/1000</f>
        <v>0.224</v>
      </c>
      <c r="H86" s="1">
        <f>CEILING(Table1[[#This Row],[Weight per order (Kg)]],0.5)</f>
        <v>0.5</v>
      </c>
      <c r="I86" t="str">
        <f>_xlfn.XLOOKUP(Table1[[#This Row],[OrderID]],'Courier company invoice'!B:B,'Courier company invoice'!F:F)</f>
        <v>d</v>
      </c>
      <c r="J86" s="1" t="str">
        <f>_xlfn.XLOOKUP(Table1[[#This Row],[OrderID]],Table2[Order ID],Table2[Type of Shipment],"Not Found")</f>
        <v>Forward charges</v>
      </c>
      <c r="K86">
        <f>INDEX(Sheet1[],1,MATCH("fwd_"&amp;Table1[[#This Row],[Zone]]&amp;"_fixed",Sheet1[#Headers],0))</f>
        <v>45.4</v>
      </c>
      <c r="L86">
        <f>INDEX(Sheet1[],1,MATCH("fwd_"&amp;Table1[[#This Row],[Zone]]&amp;"_additional",Sheet1[#Headers],0))</f>
        <v>44.8</v>
      </c>
      <c r="M86" s="1">
        <f>(Table1[[#This Row],[Weight slab]]-0.5)/0.5</f>
        <v>0</v>
      </c>
      <c r="N86" s="1">
        <f>Table1[[#This Row],[Fixed_Charges]]+Table1[[#This Row],[No_of_Extra_slabs]]*Table1[[#This Row],[Additional_Charges]]</f>
        <v>45.4</v>
      </c>
      <c r="O86">
        <f>_xlfn.XLOOKUP(Table1[[#This Row],[OrderID]],'Courier company invoice'!B:B,'Courier company invoice'!H:H)</f>
        <v>269.39999999999998</v>
      </c>
      <c r="P86" s="1">
        <f>Table1[[#This Row],[Billing Amount]]-Table1[[#This Row],[Expected charges]]</f>
        <v>223.99999999999997</v>
      </c>
      <c r="Q86" s="1" t="str" cm="1">
        <f t="array" ref="Q8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87" spans="1:17" x14ac:dyDescent="0.3">
      <c r="A87" s="3" t="s">
        <v>28</v>
      </c>
      <c r="B87" s="2">
        <f>Table1[[#This Row],[Order ID]]*1</f>
        <v>2001812854</v>
      </c>
      <c r="C87" s="2">
        <v>8904223819031</v>
      </c>
      <c r="D87">
        <v>2</v>
      </c>
      <c r="E87">
        <f>_xlfn.XLOOKUP(Table1[[#This Row],[SKU (Product Code)]],'SKU Master'!A:A,'SKU Master'!B:B)</f>
        <v>112</v>
      </c>
      <c r="F87">
        <f>Table1[[#This Row],[Product weight]]*Table1[[#This Row],[Order Qty]]</f>
        <v>224</v>
      </c>
      <c r="G87">
        <f>Table1[[#This Row],[Weight per order (g)]]/1000</f>
        <v>0.224</v>
      </c>
      <c r="H87" s="1">
        <f>CEILING(Table1[[#This Row],[Weight per order (Kg)]],0.5)</f>
        <v>0.5</v>
      </c>
      <c r="I87" t="str">
        <f>_xlfn.XLOOKUP(Table1[[#This Row],[OrderID]],'Courier company invoice'!B:B,'Courier company invoice'!F:F)</f>
        <v>d</v>
      </c>
      <c r="J87" s="1" t="str">
        <f>_xlfn.XLOOKUP(Table1[[#This Row],[OrderID]],Table2[Order ID],Table2[Type of Shipment],"Not Found")</f>
        <v>Forward charges</v>
      </c>
      <c r="K87">
        <f>INDEX(Sheet1[],1,MATCH("fwd_"&amp;Table1[[#This Row],[Zone]]&amp;"_fixed",Sheet1[#Headers],0))</f>
        <v>45.4</v>
      </c>
      <c r="L87">
        <f>INDEX(Sheet1[],1,MATCH("fwd_"&amp;Table1[[#This Row],[Zone]]&amp;"_additional",Sheet1[#Headers],0))</f>
        <v>44.8</v>
      </c>
      <c r="M87" s="1">
        <f>(Table1[[#This Row],[Weight slab]]-0.5)/0.5</f>
        <v>0</v>
      </c>
      <c r="N87" s="1">
        <f>Table1[[#This Row],[Fixed_Charges]]+Table1[[#This Row],[No_of_Extra_slabs]]*Table1[[#This Row],[Additional_Charges]]</f>
        <v>45.4</v>
      </c>
      <c r="O87">
        <f>_xlfn.XLOOKUP(Table1[[#This Row],[OrderID]],'Courier company invoice'!B:B,'Courier company invoice'!H:H)</f>
        <v>269.39999999999998</v>
      </c>
      <c r="P87" s="1">
        <f>Table1[[#This Row],[Billing Amount]]-Table1[[#This Row],[Expected charges]]</f>
        <v>223.99999999999997</v>
      </c>
      <c r="Q87" s="1" t="str" cm="1">
        <f t="array" ref="Q8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88" spans="1:17" x14ac:dyDescent="0.3">
      <c r="A88" s="3" t="s">
        <v>28</v>
      </c>
      <c r="B88" s="2">
        <f>Table1[[#This Row],[Order ID]]*1</f>
        <v>2001812854</v>
      </c>
      <c r="C88" s="2">
        <v>8904223819024</v>
      </c>
      <c r="D88">
        <v>2</v>
      </c>
      <c r="E88">
        <f>_xlfn.XLOOKUP(Table1[[#This Row],[SKU (Product Code)]],'SKU Master'!A:A,'SKU Master'!B:B)</f>
        <v>112</v>
      </c>
      <c r="F88">
        <f>Table1[[#This Row],[Product weight]]*Table1[[#This Row],[Order Qty]]</f>
        <v>224</v>
      </c>
      <c r="G88">
        <f>Table1[[#This Row],[Weight per order (g)]]/1000</f>
        <v>0.224</v>
      </c>
      <c r="H88" s="1">
        <f>CEILING(Table1[[#This Row],[Weight per order (Kg)]],0.5)</f>
        <v>0.5</v>
      </c>
      <c r="I88" t="str">
        <f>_xlfn.XLOOKUP(Table1[[#This Row],[OrderID]],'Courier company invoice'!B:B,'Courier company invoice'!F:F)</f>
        <v>d</v>
      </c>
      <c r="J88" s="1" t="str">
        <f>_xlfn.XLOOKUP(Table1[[#This Row],[OrderID]],Table2[Order ID],Table2[Type of Shipment],"Not Found")</f>
        <v>Forward charges</v>
      </c>
      <c r="K88">
        <f>INDEX(Sheet1[],1,MATCH("fwd_"&amp;Table1[[#This Row],[Zone]]&amp;"_fixed",Sheet1[#Headers],0))</f>
        <v>45.4</v>
      </c>
      <c r="L88">
        <f>INDEX(Sheet1[],1,MATCH("fwd_"&amp;Table1[[#This Row],[Zone]]&amp;"_additional",Sheet1[#Headers],0))</f>
        <v>44.8</v>
      </c>
      <c r="M88" s="1">
        <f>(Table1[[#This Row],[Weight slab]]-0.5)/0.5</f>
        <v>0</v>
      </c>
      <c r="N88" s="1">
        <f>Table1[[#This Row],[Fixed_Charges]]+Table1[[#This Row],[No_of_Extra_slabs]]*Table1[[#This Row],[Additional_Charges]]</f>
        <v>45.4</v>
      </c>
      <c r="O88">
        <f>_xlfn.XLOOKUP(Table1[[#This Row],[OrderID]],'Courier company invoice'!B:B,'Courier company invoice'!H:H)</f>
        <v>269.39999999999998</v>
      </c>
      <c r="P88" s="1">
        <f>Table1[[#This Row],[Billing Amount]]-Table1[[#This Row],[Expected charges]]</f>
        <v>223.99999999999997</v>
      </c>
      <c r="Q88" s="1" t="str" cm="1">
        <f t="array" ref="Q8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89" spans="1:17" x14ac:dyDescent="0.3">
      <c r="A89" s="3" t="s">
        <v>30</v>
      </c>
      <c r="B89" s="2">
        <f>Table1[[#This Row],[Order ID]]*1</f>
        <v>2001812838</v>
      </c>
      <c r="C89" s="2">
        <v>8904223818980</v>
      </c>
      <c r="D89">
        <v>1</v>
      </c>
      <c r="E89">
        <f>_xlfn.XLOOKUP(Table1[[#This Row],[SKU (Product Code)]],'SKU Master'!A:A,'SKU Master'!B:B)</f>
        <v>110</v>
      </c>
      <c r="F89">
        <f>Table1[[#This Row],[Product weight]]*Table1[[#This Row],[Order Qty]]</f>
        <v>110</v>
      </c>
      <c r="G89">
        <f>Table1[[#This Row],[Weight per order (g)]]/1000</f>
        <v>0.11</v>
      </c>
      <c r="H89" s="1">
        <f>CEILING(Table1[[#This Row],[Weight per order (Kg)]],0.5)</f>
        <v>0.5</v>
      </c>
      <c r="I89" t="str">
        <f>_xlfn.XLOOKUP(Table1[[#This Row],[OrderID]],'Courier company invoice'!B:B,'Courier company invoice'!F:F)</f>
        <v>b</v>
      </c>
      <c r="J89" s="1" t="str">
        <f>_xlfn.XLOOKUP(Table1[[#This Row],[OrderID]],Table2[Order ID],Table2[Type of Shipment],"Not Found")</f>
        <v>Forward and RTO charges</v>
      </c>
      <c r="K89">
        <f>INDEX(Sheet1[],1,MATCH("fwd_"&amp;Table1[[#This Row],[Zone]]&amp;"_fixed",Sheet1[#Headers],0))</f>
        <v>33</v>
      </c>
      <c r="L89">
        <f>INDEX(Sheet1[],1,MATCH("fwd_"&amp;Table1[[#This Row],[Zone]]&amp;"_additional",Sheet1[#Headers],0))</f>
        <v>28.3</v>
      </c>
      <c r="M89" s="1">
        <f>(Table1[[#This Row],[Weight slab]]-0.5)/0.5</f>
        <v>0</v>
      </c>
      <c r="N89" s="1">
        <f>Table1[[#This Row],[Fixed_Charges]]+Table1[[#This Row],[No_of_Extra_slabs]]*Table1[[#This Row],[Additional_Charges]]</f>
        <v>33</v>
      </c>
      <c r="O89">
        <f>_xlfn.XLOOKUP(Table1[[#This Row],[OrderID]],'Courier company invoice'!B:B,'Courier company invoice'!H:H)</f>
        <v>102.3</v>
      </c>
      <c r="P89" s="1">
        <f>Table1[[#This Row],[Billing Amount]]-Table1[[#This Row],[Expected charges]]</f>
        <v>69.3</v>
      </c>
      <c r="Q89" s="1" t="str" cm="1">
        <f t="array" ref="Q8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90" spans="1:17" x14ac:dyDescent="0.3">
      <c r="A90" s="3" t="s">
        <v>30</v>
      </c>
      <c r="B90" s="2">
        <f>Table1[[#This Row],[Order ID]]*1</f>
        <v>2001812838</v>
      </c>
      <c r="C90" s="2">
        <v>8904223819031</v>
      </c>
      <c r="D90">
        <v>4</v>
      </c>
      <c r="E90">
        <f>_xlfn.XLOOKUP(Table1[[#This Row],[SKU (Product Code)]],'SKU Master'!A:A,'SKU Master'!B:B)</f>
        <v>112</v>
      </c>
      <c r="F90">
        <f>Table1[[#This Row],[Product weight]]*Table1[[#This Row],[Order Qty]]</f>
        <v>448</v>
      </c>
      <c r="G90">
        <f>Table1[[#This Row],[Weight per order (g)]]/1000</f>
        <v>0.44800000000000001</v>
      </c>
      <c r="H90" s="1">
        <f>CEILING(Table1[[#This Row],[Weight per order (Kg)]],0.5)</f>
        <v>0.5</v>
      </c>
      <c r="I90" t="str">
        <f>_xlfn.XLOOKUP(Table1[[#This Row],[OrderID]],'Courier company invoice'!B:B,'Courier company invoice'!F:F)</f>
        <v>b</v>
      </c>
      <c r="J90" s="1" t="str">
        <f>_xlfn.XLOOKUP(Table1[[#This Row],[OrderID]],Table2[Order ID],Table2[Type of Shipment],"Not Found")</f>
        <v>Forward and RTO charges</v>
      </c>
      <c r="K90">
        <f>INDEX(Sheet1[],1,MATCH("fwd_"&amp;Table1[[#This Row],[Zone]]&amp;"_fixed",Sheet1[#Headers],0))</f>
        <v>33</v>
      </c>
      <c r="L90">
        <f>INDEX(Sheet1[],1,MATCH("fwd_"&amp;Table1[[#This Row],[Zone]]&amp;"_additional",Sheet1[#Headers],0))</f>
        <v>28.3</v>
      </c>
      <c r="M90" s="1">
        <f>(Table1[[#This Row],[Weight slab]]-0.5)/0.5</f>
        <v>0</v>
      </c>
      <c r="N90" s="1">
        <f>Table1[[#This Row],[Fixed_Charges]]+Table1[[#This Row],[No_of_Extra_slabs]]*Table1[[#This Row],[Additional_Charges]]</f>
        <v>33</v>
      </c>
      <c r="O90">
        <f>_xlfn.XLOOKUP(Table1[[#This Row],[OrderID]],'Courier company invoice'!B:B,'Courier company invoice'!H:H)</f>
        <v>102.3</v>
      </c>
      <c r="P90" s="1">
        <f>Table1[[#This Row],[Billing Amount]]-Table1[[#This Row],[Expected charges]]</f>
        <v>69.3</v>
      </c>
      <c r="Q90" s="1" t="str" cm="1">
        <f t="array" ref="Q9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91" spans="1:17" x14ac:dyDescent="0.3">
      <c r="A91" s="3" t="s">
        <v>31</v>
      </c>
      <c r="B91" s="2">
        <f>Table1[[#This Row],[Order ID]]*1</f>
        <v>2001812650</v>
      </c>
      <c r="C91" s="2">
        <v>8904223819031</v>
      </c>
      <c r="D91">
        <v>4</v>
      </c>
      <c r="E91">
        <f>_xlfn.XLOOKUP(Table1[[#This Row],[SKU (Product Code)]],'SKU Master'!A:A,'SKU Master'!B:B)</f>
        <v>112</v>
      </c>
      <c r="F91">
        <f>Table1[[#This Row],[Product weight]]*Table1[[#This Row],[Order Qty]]</f>
        <v>448</v>
      </c>
      <c r="G91">
        <f>Table1[[#This Row],[Weight per order (g)]]/1000</f>
        <v>0.44800000000000001</v>
      </c>
      <c r="H91" s="1">
        <f>CEILING(Table1[[#This Row],[Weight per order (Kg)]],0.5)</f>
        <v>0.5</v>
      </c>
      <c r="I91" t="str">
        <f>_xlfn.XLOOKUP(Table1[[#This Row],[OrderID]],'Courier company invoice'!B:B,'Courier company invoice'!F:F)</f>
        <v>d</v>
      </c>
      <c r="J91" s="1" t="str">
        <f>_xlfn.XLOOKUP(Table1[[#This Row],[OrderID]],Table2[Order ID],Table2[Type of Shipment],"Not Found")</f>
        <v>Forward charges</v>
      </c>
      <c r="K91">
        <f>INDEX(Sheet1[],1,MATCH("fwd_"&amp;Table1[[#This Row],[Zone]]&amp;"_fixed",Sheet1[#Headers],0))</f>
        <v>45.4</v>
      </c>
      <c r="L91">
        <f>INDEX(Sheet1[],1,MATCH("fwd_"&amp;Table1[[#This Row],[Zone]]&amp;"_additional",Sheet1[#Headers],0))</f>
        <v>44.8</v>
      </c>
      <c r="M91" s="1">
        <f>(Table1[[#This Row],[Weight slab]]-0.5)/0.5</f>
        <v>0</v>
      </c>
      <c r="N91" s="1">
        <f>Table1[[#This Row],[Fixed_Charges]]+Table1[[#This Row],[No_of_Extra_slabs]]*Table1[[#This Row],[Additional_Charges]]</f>
        <v>45.4</v>
      </c>
      <c r="O91">
        <f>_xlfn.XLOOKUP(Table1[[#This Row],[OrderID]],'Courier company invoice'!B:B,'Courier company invoice'!H:H)</f>
        <v>90.2</v>
      </c>
      <c r="P91" s="1">
        <f>Table1[[#This Row],[Billing Amount]]-Table1[[#This Row],[Expected charges]]</f>
        <v>44.800000000000004</v>
      </c>
      <c r="Q91" s="1" t="str" cm="1">
        <f t="array" ref="Q9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92" spans="1:17" x14ac:dyDescent="0.3">
      <c r="A92" s="3" t="s">
        <v>31</v>
      </c>
      <c r="B92" s="2">
        <f>Table1[[#This Row],[Order ID]]*1</f>
        <v>2001812650</v>
      </c>
      <c r="C92" s="2">
        <v>8904223819017</v>
      </c>
      <c r="D92">
        <v>1</v>
      </c>
      <c r="E92">
        <f>_xlfn.XLOOKUP(Table1[[#This Row],[SKU (Product Code)]],'SKU Master'!A:A,'SKU Master'!B:B)</f>
        <v>115</v>
      </c>
      <c r="F92">
        <f>Table1[[#This Row],[Product weight]]*Table1[[#This Row],[Order Qty]]</f>
        <v>115</v>
      </c>
      <c r="G92">
        <f>Table1[[#This Row],[Weight per order (g)]]/1000</f>
        <v>0.115</v>
      </c>
      <c r="H92" s="1">
        <f>CEILING(Table1[[#This Row],[Weight per order (Kg)]],0.5)</f>
        <v>0.5</v>
      </c>
      <c r="I92" t="str">
        <f>_xlfn.XLOOKUP(Table1[[#This Row],[OrderID]],'Courier company invoice'!B:B,'Courier company invoice'!F:F)</f>
        <v>d</v>
      </c>
      <c r="J92" s="1" t="str">
        <f>_xlfn.XLOOKUP(Table1[[#This Row],[OrderID]],Table2[Order ID],Table2[Type of Shipment],"Not Found")</f>
        <v>Forward charges</v>
      </c>
      <c r="K92">
        <f>INDEX(Sheet1[],1,MATCH("fwd_"&amp;Table1[[#This Row],[Zone]]&amp;"_fixed",Sheet1[#Headers],0))</f>
        <v>45.4</v>
      </c>
      <c r="L92">
        <f>INDEX(Sheet1[],1,MATCH("fwd_"&amp;Table1[[#This Row],[Zone]]&amp;"_additional",Sheet1[#Headers],0))</f>
        <v>44.8</v>
      </c>
      <c r="M92" s="1">
        <f>(Table1[[#This Row],[Weight slab]]-0.5)/0.5</f>
        <v>0</v>
      </c>
      <c r="N92" s="1">
        <f>Table1[[#This Row],[Fixed_Charges]]+Table1[[#This Row],[No_of_Extra_slabs]]*Table1[[#This Row],[Additional_Charges]]</f>
        <v>45.4</v>
      </c>
      <c r="O92">
        <f>_xlfn.XLOOKUP(Table1[[#This Row],[OrderID]],'Courier company invoice'!B:B,'Courier company invoice'!H:H)</f>
        <v>90.2</v>
      </c>
      <c r="P92" s="1">
        <f>Table1[[#This Row],[Billing Amount]]-Table1[[#This Row],[Expected charges]]</f>
        <v>44.800000000000004</v>
      </c>
      <c r="Q92" s="1" t="str" cm="1">
        <f t="array" ref="Q9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93" spans="1:17" x14ac:dyDescent="0.3">
      <c r="A93" s="3" t="s">
        <v>32</v>
      </c>
      <c r="B93" s="2">
        <f>Table1[[#This Row],[Order ID]]*1</f>
        <v>2001812195</v>
      </c>
      <c r="C93" s="2">
        <v>8904223818706</v>
      </c>
      <c r="D93">
        <v>1</v>
      </c>
      <c r="E93">
        <f>_xlfn.XLOOKUP(Table1[[#This Row],[SKU (Product Code)]],'SKU Master'!A:A,'SKU Master'!B:B)</f>
        <v>127</v>
      </c>
      <c r="F93">
        <f>Table1[[#This Row],[Product weight]]*Table1[[#This Row],[Order Qty]]</f>
        <v>127</v>
      </c>
      <c r="G93">
        <f>Table1[[#This Row],[Weight per order (g)]]/1000</f>
        <v>0.127</v>
      </c>
      <c r="H93" s="1">
        <f>CEILING(Table1[[#This Row],[Weight per order (Kg)]],0.5)</f>
        <v>0.5</v>
      </c>
      <c r="I93" t="str">
        <f>_xlfn.XLOOKUP(Table1[[#This Row],[OrderID]],'Courier company invoice'!B:B,'Courier company invoice'!F:F)</f>
        <v>d</v>
      </c>
      <c r="J93" s="1" t="str">
        <f>_xlfn.XLOOKUP(Table1[[#This Row],[OrderID]],Table2[Order ID],Table2[Type of Shipment],"Not Found")</f>
        <v>Forward charges</v>
      </c>
      <c r="K93">
        <f>INDEX(Sheet1[],1,MATCH("fwd_"&amp;Table1[[#This Row],[Zone]]&amp;"_fixed",Sheet1[#Headers],0))</f>
        <v>45.4</v>
      </c>
      <c r="L93">
        <f>INDEX(Sheet1[],1,MATCH("fwd_"&amp;Table1[[#This Row],[Zone]]&amp;"_additional",Sheet1[#Headers],0))</f>
        <v>44.8</v>
      </c>
      <c r="M93" s="1">
        <f>(Table1[[#This Row],[Weight slab]]-0.5)/0.5</f>
        <v>0</v>
      </c>
      <c r="N93" s="1">
        <f>Table1[[#This Row],[Fixed_Charges]]+Table1[[#This Row],[No_of_Extra_slabs]]*Table1[[#This Row],[Additional_Charges]]</f>
        <v>45.4</v>
      </c>
      <c r="O93">
        <f>_xlfn.XLOOKUP(Table1[[#This Row],[OrderID]],'Courier company invoice'!B:B,'Courier company invoice'!H:H)</f>
        <v>90.2</v>
      </c>
      <c r="P93" s="1">
        <f>Table1[[#This Row],[Billing Amount]]-Table1[[#This Row],[Expected charges]]</f>
        <v>44.800000000000004</v>
      </c>
      <c r="Q93" s="1" t="str" cm="1">
        <f t="array" ref="Q9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94" spans="1:17" x14ac:dyDescent="0.3">
      <c r="A94" s="3" t="s">
        <v>32</v>
      </c>
      <c r="B94" s="2">
        <f>Table1[[#This Row],[Order ID]]*1</f>
        <v>2001812195</v>
      </c>
      <c r="C94" s="2">
        <v>8904223818942</v>
      </c>
      <c r="D94">
        <v>1</v>
      </c>
      <c r="E94">
        <f>_xlfn.XLOOKUP(Table1[[#This Row],[SKU (Product Code)]],'SKU Master'!A:A,'SKU Master'!B:B)</f>
        <v>133</v>
      </c>
      <c r="F94">
        <f>Table1[[#This Row],[Product weight]]*Table1[[#This Row],[Order Qty]]</f>
        <v>133</v>
      </c>
      <c r="G94">
        <f>Table1[[#This Row],[Weight per order (g)]]/1000</f>
        <v>0.13300000000000001</v>
      </c>
      <c r="H94" s="1">
        <f>CEILING(Table1[[#This Row],[Weight per order (Kg)]],0.5)</f>
        <v>0.5</v>
      </c>
      <c r="I94" t="str">
        <f>_xlfn.XLOOKUP(Table1[[#This Row],[OrderID]],'Courier company invoice'!B:B,'Courier company invoice'!F:F)</f>
        <v>d</v>
      </c>
      <c r="J94" s="1" t="str">
        <f>_xlfn.XLOOKUP(Table1[[#This Row],[OrderID]],Table2[Order ID],Table2[Type of Shipment],"Not Found")</f>
        <v>Forward charges</v>
      </c>
      <c r="K94">
        <f>INDEX(Sheet1[],1,MATCH("fwd_"&amp;Table1[[#This Row],[Zone]]&amp;"_fixed",Sheet1[#Headers],0))</f>
        <v>45.4</v>
      </c>
      <c r="L94">
        <f>INDEX(Sheet1[],1,MATCH("fwd_"&amp;Table1[[#This Row],[Zone]]&amp;"_additional",Sheet1[#Headers],0))</f>
        <v>44.8</v>
      </c>
      <c r="M94" s="1">
        <f>(Table1[[#This Row],[Weight slab]]-0.5)/0.5</f>
        <v>0</v>
      </c>
      <c r="N94" s="1">
        <f>Table1[[#This Row],[Fixed_Charges]]+Table1[[#This Row],[No_of_Extra_slabs]]*Table1[[#This Row],[Additional_Charges]]</f>
        <v>45.4</v>
      </c>
      <c r="O94">
        <f>_xlfn.XLOOKUP(Table1[[#This Row],[OrderID]],'Courier company invoice'!B:B,'Courier company invoice'!H:H)</f>
        <v>90.2</v>
      </c>
      <c r="P94" s="1">
        <f>Table1[[#This Row],[Billing Amount]]-Table1[[#This Row],[Expected charges]]</f>
        <v>44.800000000000004</v>
      </c>
      <c r="Q94" s="1" t="str" cm="1">
        <f t="array" ref="Q9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95" spans="1:17" x14ac:dyDescent="0.3">
      <c r="A95" s="3" t="s">
        <v>32</v>
      </c>
      <c r="B95" s="2">
        <f>Table1[[#This Row],[Order ID]]*1</f>
        <v>2001812195</v>
      </c>
      <c r="C95" s="2">
        <v>8904223818850</v>
      </c>
      <c r="D95">
        <v>1</v>
      </c>
      <c r="E95">
        <f>_xlfn.XLOOKUP(Table1[[#This Row],[SKU (Product Code)]],'SKU Master'!A:A,'SKU Master'!B:B)</f>
        <v>240</v>
      </c>
      <c r="F95">
        <f>Table1[[#This Row],[Product weight]]*Table1[[#This Row],[Order Qty]]</f>
        <v>240</v>
      </c>
      <c r="G95">
        <f>Table1[[#This Row],[Weight per order (g)]]/1000</f>
        <v>0.24</v>
      </c>
      <c r="H95" s="1">
        <f>CEILING(Table1[[#This Row],[Weight per order (Kg)]],0.5)</f>
        <v>0.5</v>
      </c>
      <c r="I95" t="str">
        <f>_xlfn.XLOOKUP(Table1[[#This Row],[OrderID]],'Courier company invoice'!B:B,'Courier company invoice'!F:F)</f>
        <v>d</v>
      </c>
      <c r="J95" s="1" t="str">
        <f>_xlfn.XLOOKUP(Table1[[#This Row],[OrderID]],Table2[Order ID],Table2[Type of Shipment],"Not Found")</f>
        <v>Forward charges</v>
      </c>
      <c r="K95">
        <f>INDEX(Sheet1[],1,MATCH("fwd_"&amp;Table1[[#This Row],[Zone]]&amp;"_fixed",Sheet1[#Headers],0))</f>
        <v>45.4</v>
      </c>
      <c r="L95">
        <f>INDEX(Sheet1[],1,MATCH("fwd_"&amp;Table1[[#This Row],[Zone]]&amp;"_additional",Sheet1[#Headers],0))</f>
        <v>44.8</v>
      </c>
      <c r="M95" s="1">
        <f>(Table1[[#This Row],[Weight slab]]-0.5)/0.5</f>
        <v>0</v>
      </c>
      <c r="N95" s="1">
        <f>Table1[[#This Row],[Fixed_Charges]]+Table1[[#This Row],[No_of_Extra_slabs]]*Table1[[#This Row],[Additional_Charges]]</f>
        <v>45.4</v>
      </c>
      <c r="O95">
        <f>_xlfn.XLOOKUP(Table1[[#This Row],[OrderID]],'Courier company invoice'!B:B,'Courier company invoice'!H:H)</f>
        <v>90.2</v>
      </c>
      <c r="P95" s="1">
        <f>Table1[[#This Row],[Billing Amount]]-Table1[[#This Row],[Expected charges]]</f>
        <v>44.800000000000004</v>
      </c>
      <c r="Q95" s="1" t="str" cm="1">
        <f t="array" ref="Q9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96" spans="1:17" x14ac:dyDescent="0.3">
      <c r="A96" s="3" t="s">
        <v>33</v>
      </c>
      <c r="B96" s="2">
        <f>Table1[[#This Row],[Order ID]]*1</f>
        <v>2001811809</v>
      </c>
      <c r="C96" s="2">
        <v>8904223818706</v>
      </c>
      <c r="D96">
        <v>1</v>
      </c>
      <c r="E96">
        <f>_xlfn.XLOOKUP(Table1[[#This Row],[SKU (Product Code)]],'SKU Master'!A:A,'SKU Master'!B:B)</f>
        <v>127</v>
      </c>
      <c r="F96">
        <f>Table1[[#This Row],[Product weight]]*Table1[[#This Row],[Order Qty]]</f>
        <v>127</v>
      </c>
      <c r="G96">
        <f>Table1[[#This Row],[Weight per order (g)]]/1000</f>
        <v>0.127</v>
      </c>
      <c r="H96" s="1">
        <f>CEILING(Table1[[#This Row],[Weight per order (Kg)]],0.5)</f>
        <v>0.5</v>
      </c>
      <c r="I96" t="str">
        <f>_xlfn.XLOOKUP(Table1[[#This Row],[OrderID]],'Courier company invoice'!B:B,'Courier company invoice'!F:F)</f>
        <v>d</v>
      </c>
      <c r="J96" s="1" t="str">
        <f>_xlfn.XLOOKUP(Table1[[#This Row],[OrderID]],Table2[Order ID],Table2[Type of Shipment],"Not Found")</f>
        <v>Forward and RTO charges</v>
      </c>
      <c r="K96">
        <f>INDEX(Sheet1[],1,MATCH("fwd_"&amp;Table1[[#This Row],[Zone]]&amp;"_fixed",Sheet1[#Headers],0))</f>
        <v>45.4</v>
      </c>
      <c r="L96">
        <f>INDEX(Sheet1[],1,MATCH("fwd_"&amp;Table1[[#This Row],[Zone]]&amp;"_additional",Sheet1[#Headers],0))</f>
        <v>44.8</v>
      </c>
      <c r="M96" s="1">
        <f>(Table1[[#This Row],[Weight slab]]-0.5)/0.5</f>
        <v>0</v>
      </c>
      <c r="N96" s="1">
        <f>Table1[[#This Row],[Fixed_Charges]]+Table1[[#This Row],[No_of_Extra_slabs]]*Table1[[#This Row],[Additional_Charges]]</f>
        <v>45.4</v>
      </c>
      <c r="O96">
        <f>_xlfn.XLOOKUP(Table1[[#This Row],[OrderID]],'Courier company invoice'!B:B,'Courier company invoice'!H:H)</f>
        <v>86.7</v>
      </c>
      <c r="P96" s="1">
        <f>Table1[[#This Row],[Billing Amount]]-Table1[[#This Row],[Expected charges]]</f>
        <v>41.300000000000004</v>
      </c>
      <c r="Q96" s="1" t="str" cm="1">
        <f t="array" ref="Q9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97" spans="1:17" x14ac:dyDescent="0.3">
      <c r="A97" s="3" t="s">
        <v>33</v>
      </c>
      <c r="B97" s="2">
        <f>Table1[[#This Row],[Order ID]]*1</f>
        <v>2001811809</v>
      </c>
      <c r="C97" s="2">
        <v>8904223818942</v>
      </c>
      <c r="D97">
        <v>1</v>
      </c>
      <c r="E97">
        <f>_xlfn.XLOOKUP(Table1[[#This Row],[SKU (Product Code)]],'SKU Master'!A:A,'SKU Master'!B:B)</f>
        <v>133</v>
      </c>
      <c r="F97">
        <f>Table1[[#This Row],[Product weight]]*Table1[[#This Row],[Order Qty]]</f>
        <v>133</v>
      </c>
      <c r="G97">
        <f>Table1[[#This Row],[Weight per order (g)]]/1000</f>
        <v>0.13300000000000001</v>
      </c>
      <c r="H97" s="1">
        <f>CEILING(Table1[[#This Row],[Weight per order (Kg)]],0.5)</f>
        <v>0.5</v>
      </c>
      <c r="I97" t="str">
        <f>_xlfn.XLOOKUP(Table1[[#This Row],[OrderID]],'Courier company invoice'!B:B,'Courier company invoice'!F:F)</f>
        <v>d</v>
      </c>
      <c r="J97" s="1" t="str">
        <f>_xlfn.XLOOKUP(Table1[[#This Row],[OrderID]],Table2[Order ID],Table2[Type of Shipment],"Not Found")</f>
        <v>Forward and RTO charges</v>
      </c>
      <c r="K97">
        <f>INDEX(Sheet1[],1,MATCH("fwd_"&amp;Table1[[#This Row],[Zone]]&amp;"_fixed",Sheet1[#Headers],0))</f>
        <v>45.4</v>
      </c>
      <c r="L97">
        <f>INDEX(Sheet1[],1,MATCH("fwd_"&amp;Table1[[#This Row],[Zone]]&amp;"_additional",Sheet1[#Headers],0))</f>
        <v>44.8</v>
      </c>
      <c r="M97" s="1">
        <f>(Table1[[#This Row],[Weight slab]]-0.5)/0.5</f>
        <v>0</v>
      </c>
      <c r="N97" s="1">
        <f>Table1[[#This Row],[Fixed_Charges]]+Table1[[#This Row],[No_of_Extra_slabs]]*Table1[[#This Row],[Additional_Charges]]</f>
        <v>45.4</v>
      </c>
      <c r="O97">
        <f>_xlfn.XLOOKUP(Table1[[#This Row],[OrderID]],'Courier company invoice'!B:B,'Courier company invoice'!H:H)</f>
        <v>86.7</v>
      </c>
      <c r="P97" s="1">
        <f>Table1[[#This Row],[Billing Amount]]-Table1[[#This Row],[Expected charges]]</f>
        <v>41.300000000000004</v>
      </c>
      <c r="Q97" s="1" t="str" cm="1">
        <f t="array" ref="Q9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98" spans="1:17" x14ac:dyDescent="0.3">
      <c r="A98" s="3" t="s">
        <v>33</v>
      </c>
      <c r="B98" s="2">
        <f>Table1[[#This Row],[Order ID]]*1</f>
        <v>2001811809</v>
      </c>
      <c r="C98" s="2">
        <v>8904223818850</v>
      </c>
      <c r="D98">
        <v>1</v>
      </c>
      <c r="E98">
        <f>_xlfn.XLOOKUP(Table1[[#This Row],[SKU (Product Code)]],'SKU Master'!A:A,'SKU Master'!B:B)</f>
        <v>240</v>
      </c>
      <c r="F98">
        <f>Table1[[#This Row],[Product weight]]*Table1[[#This Row],[Order Qty]]</f>
        <v>240</v>
      </c>
      <c r="G98">
        <f>Table1[[#This Row],[Weight per order (g)]]/1000</f>
        <v>0.24</v>
      </c>
      <c r="H98" s="1">
        <f>CEILING(Table1[[#This Row],[Weight per order (Kg)]],0.5)</f>
        <v>0.5</v>
      </c>
      <c r="I98" t="str">
        <f>_xlfn.XLOOKUP(Table1[[#This Row],[OrderID]],'Courier company invoice'!B:B,'Courier company invoice'!F:F)</f>
        <v>d</v>
      </c>
      <c r="J98" s="1" t="str">
        <f>_xlfn.XLOOKUP(Table1[[#This Row],[OrderID]],Table2[Order ID],Table2[Type of Shipment],"Not Found")</f>
        <v>Forward and RTO charges</v>
      </c>
      <c r="K98">
        <f>INDEX(Sheet1[],1,MATCH("fwd_"&amp;Table1[[#This Row],[Zone]]&amp;"_fixed",Sheet1[#Headers],0))</f>
        <v>45.4</v>
      </c>
      <c r="L98">
        <f>INDEX(Sheet1[],1,MATCH("fwd_"&amp;Table1[[#This Row],[Zone]]&amp;"_additional",Sheet1[#Headers],0))</f>
        <v>44.8</v>
      </c>
      <c r="M98" s="1">
        <f>(Table1[[#This Row],[Weight slab]]-0.5)/0.5</f>
        <v>0</v>
      </c>
      <c r="N98" s="1">
        <f>Table1[[#This Row],[Fixed_Charges]]+Table1[[#This Row],[No_of_Extra_slabs]]*Table1[[#This Row],[Additional_Charges]]</f>
        <v>45.4</v>
      </c>
      <c r="O98">
        <f>_xlfn.XLOOKUP(Table1[[#This Row],[OrderID]],'Courier company invoice'!B:B,'Courier company invoice'!H:H)</f>
        <v>86.7</v>
      </c>
      <c r="P98" s="1">
        <f>Table1[[#This Row],[Billing Amount]]-Table1[[#This Row],[Expected charges]]</f>
        <v>41.300000000000004</v>
      </c>
      <c r="Q98" s="1" t="str" cm="1">
        <f t="array" ref="Q9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99" spans="1:17" x14ac:dyDescent="0.3">
      <c r="A99" s="3" t="s">
        <v>34</v>
      </c>
      <c r="B99" s="2">
        <f>Table1[[#This Row],[Order ID]]*1</f>
        <v>2001811604</v>
      </c>
      <c r="C99" s="2">
        <v>8904223816214</v>
      </c>
      <c r="D99">
        <v>1</v>
      </c>
      <c r="E99">
        <f>_xlfn.XLOOKUP(Table1[[#This Row],[SKU (Product Code)]],'SKU Master'!A:A,'SKU Master'!B:B)</f>
        <v>120</v>
      </c>
      <c r="F99">
        <f>Table1[[#This Row],[Product weight]]*Table1[[#This Row],[Order Qty]]</f>
        <v>120</v>
      </c>
      <c r="G99">
        <f>Table1[[#This Row],[Weight per order (g)]]/1000</f>
        <v>0.12</v>
      </c>
      <c r="H99" s="1">
        <f>CEILING(Table1[[#This Row],[Weight per order (Kg)]],0.5)</f>
        <v>0.5</v>
      </c>
      <c r="I99" t="str">
        <f>_xlfn.XLOOKUP(Table1[[#This Row],[OrderID]],'Courier company invoice'!B:B,'Courier company invoice'!F:F)</f>
        <v>b</v>
      </c>
      <c r="J99" s="1" t="str">
        <f>_xlfn.XLOOKUP(Table1[[#This Row],[OrderID]],Table2[Order ID],Table2[Type of Shipment],"Not Found")</f>
        <v>Forward charges</v>
      </c>
      <c r="K99">
        <f>INDEX(Sheet1[],1,MATCH("fwd_"&amp;Table1[[#This Row],[Zone]]&amp;"_fixed",Sheet1[#Headers],0))</f>
        <v>33</v>
      </c>
      <c r="L99">
        <f>INDEX(Sheet1[],1,MATCH("fwd_"&amp;Table1[[#This Row],[Zone]]&amp;"_additional",Sheet1[#Headers],0))</f>
        <v>28.3</v>
      </c>
      <c r="M99" s="1">
        <f>(Table1[[#This Row],[Weight slab]]-0.5)/0.5</f>
        <v>0</v>
      </c>
      <c r="N99" s="1">
        <f>Table1[[#This Row],[Fixed_Charges]]+Table1[[#This Row],[No_of_Extra_slabs]]*Table1[[#This Row],[Additional_Charges]]</f>
        <v>33</v>
      </c>
      <c r="O99">
        <f>_xlfn.XLOOKUP(Table1[[#This Row],[OrderID]],'Courier company invoice'!B:B,'Courier company invoice'!H:H)</f>
        <v>61.3</v>
      </c>
      <c r="P99" s="1">
        <f>Table1[[#This Row],[Billing Amount]]-Table1[[#This Row],[Expected charges]]</f>
        <v>28.299999999999997</v>
      </c>
      <c r="Q99" s="1" t="str" cm="1">
        <f t="array" ref="Q9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00" spans="1:17" x14ac:dyDescent="0.3">
      <c r="A100" s="3" t="s">
        <v>34</v>
      </c>
      <c r="B100" s="2">
        <f>Table1[[#This Row],[Order ID]]*1</f>
        <v>2001811604</v>
      </c>
      <c r="C100" s="2">
        <v>8904223818669</v>
      </c>
      <c r="D100">
        <v>2</v>
      </c>
      <c r="E100">
        <f>_xlfn.XLOOKUP(Table1[[#This Row],[SKU (Product Code)]],'SKU Master'!A:A,'SKU Master'!B:B)</f>
        <v>240</v>
      </c>
      <c r="F100">
        <f>Table1[[#This Row],[Product weight]]*Table1[[#This Row],[Order Qty]]</f>
        <v>480</v>
      </c>
      <c r="G100">
        <f>Table1[[#This Row],[Weight per order (g)]]/1000</f>
        <v>0.48</v>
      </c>
      <c r="H100" s="1">
        <f>CEILING(Table1[[#This Row],[Weight per order (Kg)]],0.5)</f>
        <v>0.5</v>
      </c>
      <c r="I100" t="str">
        <f>_xlfn.XLOOKUP(Table1[[#This Row],[OrderID]],'Courier company invoice'!B:B,'Courier company invoice'!F:F)</f>
        <v>b</v>
      </c>
      <c r="J100" s="1" t="str">
        <f>_xlfn.XLOOKUP(Table1[[#This Row],[OrderID]],Table2[Order ID],Table2[Type of Shipment],"Not Found")</f>
        <v>Forward charges</v>
      </c>
      <c r="K100">
        <f>INDEX(Sheet1[],1,MATCH("fwd_"&amp;Table1[[#This Row],[Zone]]&amp;"_fixed",Sheet1[#Headers],0))</f>
        <v>33</v>
      </c>
      <c r="L100">
        <f>INDEX(Sheet1[],1,MATCH("fwd_"&amp;Table1[[#This Row],[Zone]]&amp;"_additional",Sheet1[#Headers],0))</f>
        <v>28.3</v>
      </c>
      <c r="M100" s="1">
        <f>(Table1[[#This Row],[Weight slab]]-0.5)/0.5</f>
        <v>0</v>
      </c>
      <c r="N100" s="1">
        <f>Table1[[#This Row],[Fixed_Charges]]+Table1[[#This Row],[No_of_Extra_slabs]]*Table1[[#This Row],[Additional_Charges]]</f>
        <v>33</v>
      </c>
      <c r="O100">
        <f>_xlfn.XLOOKUP(Table1[[#This Row],[OrderID]],'Courier company invoice'!B:B,'Courier company invoice'!H:H)</f>
        <v>61.3</v>
      </c>
      <c r="P100" s="1">
        <f>Table1[[#This Row],[Billing Amount]]-Table1[[#This Row],[Expected charges]]</f>
        <v>28.299999999999997</v>
      </c>
      <c r="Q100" s="1" t="str" cm="1">
        <f t="array" ref="Q10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01" spans="1:17" x14ac:dyDescent="0.3">
      <c r="A101" s="3" t="s">
        <v>34</v>
      </c>
      <c r="B101" s="2">
        <f>Table1[[#This Row],[Order ID]]*1</f>
        <v>2001811604</v>
      </c>
      <c r="C101" s="2">
        <v>8904223818683</v>
      </c>
      <c r="D101">
        <v>1</v>
      </c>
      <c r="E101">
        <f>_xlfn.XLOOKUP(Table1[[#This Row],[SKU (Product Code)]],'SKU Master'!A:A,'SKU Master'!B:B)</f>
        <v>121</v>
      </c>
      <c r="F101">
        <f>Table1[[#This Row],[Product weight]]*Table1[[#This Row],[Order Qty]]</f>
        <v>121</v>
      </c>
      <c r="G101">
        <f>Table1[[#This Row],[Weight per order (g)]]/1000</f>
        <v>0.121</v>
      </c>
      <c r="H101" s="1">
        <f>CEILING(Table1[[#This Row],[Weight per order (Kg)]],0.5)</f>
        <v>0.5</v>
      </c>
      <c r="I101" t="str">
        <f>_xlfn.XLOOKUP(Table1[[#This Row],[OrderID]],'Courier company invoice'!B:B,'Courier company invoice'!F:F)</f>
        <v>b</v>
      </c>
      <c r="J101" s="1" t="str">
        <f>_xlfn.XLOOKUP(Table1[[#This Row],[OrderID]],Table2[Order ID],Table2[Type of Shipment],"Not Found")</f>
        <v>Forward charges</v>
      </c>
      <c r="K101">
        <f>INDEX(Sheet1[],1,MATCH("fwd_"&amp;Table1[[#This Row],[Zone]]&amp;"_fixed",Sheet1[#Headers],0))</f>
        <v>33</v>
      </c>
      <c r="L101">
        <f>INDEX(Sheet1[],1,MATCH("fwd_"&amp;Table1[[#This Row],[Zone]]&amp;"_additional",Sheet1[#Headers],0))</f>
        <v>28.3</v>
      </c>
      <c r="M101" s="1">
        <f>(Table1[[#This Row],[Weight slab]]-0.5)/0.5</f>
        <v>0</v>
      </c>
      <c r="N101" s="1">
        <f>Table1[[#This Row],[Fixed_Charges]]+Table1[[#This Row],[No_of_Extra_slabs]]*Table1[[#This Row],[Additional_Charges]]</f>
        <v>33</v>
      </c>
      <c r="O101">
        <f>_xlfn.XLOOKUP(Table1[[#This Row],[OrderID]],'Courier company invoice'!B:B,'Courier company invoice'!H:H)</f>
        <v>61.3</v>
      </c>
      <c r="P101" s="1">
        <f>Table1[[#This Row],[Billing Amount]]-Table1[[#This Row],[Expected charges]]</f>
        <v>28.299999999999997</v>
      </c>
      <c r="Q101" s="1" t="str" cm="1">
        <f t="array" ref="Q10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02" spans="1:17" x14ac:dyDescent="0.3">
      <c r="A102" s="3" t="s">
        <v>35</v>
      </c>
      <c r="B102" s="2">
        <f>Table1[[#This Row],[Order ID]]*1</f>
        <v>2001811475</v>
      </c>
      <c r="C102" s="2">
        <v>8904223818706</v>
      </c>
      <c r="D102">
        <v>1</v>
      </c>
      <c r="E102">
        <f>_xlfn.XLOOKUP(Table1[[#This Row],[SKU (Product Code)]],'SKU Master'!A:A,'SKU Master'!B:B)</f>
        <v>127</v>
      </c>
      <c r="F102">
        <f>Table1[[#This Row],[Product weight]]*Table1[[#This Row],[Order Qty]]</f>
        <v>127</v>
      </c>
      <c r="G102">
        <f>Table1[[#This Row],[Weight per order (g)]]/1000</f>
        <v>0.127</v>
      </c>
      <c r="H102" s="1">
        <f>CEILING(Table1[[#This Row],[Weight per order (Kg)]],0.5)</f>
        <v>0.5</v>
      </c>
      <c r="I102" t="str">
        <f>_xlfn.XLOOKUP(Table1[[#This Row],[OrderID]],'Courier company invoice'!B:B,'Courier company invoice'!F:F)</f>
        <v>b</v>
      </c>
      <c r="J102" s="1" t="str">
        <f>_xlfn.XLOOKUP(Table1[[#This Row],[OrderID]],Table2[Order ID],Table2[Type of Shipment],"Not Found")</f>
        <v>Forward charges</v>
      </c>
      <c r="K102">
        <f>INDEX(Sheet1[],1,MATCH("fwd_"&amp;Table1[[#This Row],[Zone]]&amp;"_fixed",Sheet1[#Headers],0))</f>
        <v>33</v>
      </c>
      <c r="L102">
        <f>INDEX(Sheet1[],1,MATCH("fwd_"&amp;Table1[[#This Row],[Zone]]&amp;"_additional",Sheet1[#Headers],0))</f>
        <v>28.3</v>
      </c>
      <c r="M102" s="1">
        <f>(Table1[[#This Row],[Weight slab]]-0.5)/0.5</f>
        <v>0</v>
      </c>
      <c r="N102" s="1">
        <f>Table1[[#This Row],[Fixed_Charges]]+Table1[[#This Row],[No_of_Extra_slabs]]*Table1[[#This Row],[Additional_Charges]]</f>
        <v>33</v>
      </c>
      <c r="O102">
        <f>_xlfn.XLOOKUP(Table1[[#This Row],[OrderID]],'Courier company invoice'!B:B,'Courier company invoice'!H:H)</f>
        <v>33</v>
      </c>
      <c r="P102" s="1">
        <f>Table1[[#This Row],[Billing Amount]]-Table1[[#This Row],[Expected charges]]</f>
        <v>0</v>
      </c>
      <c r="Q102" s="1" t="str" cm="1">
        <f t="array" ref="Q10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103" spans="1:17" x14ac:dyDescent="0.3">
      <c r="A103" s="3" t="s">
        <v>35</v>
      </c>
      <c r="B103" s="2">
        <f>Table1[[#This Row],[Order ID]]*1</f>
        <v>2001811475</v>
      </c>
      <c r="C103" s="2">
        <v>8904223818669</v>
      </c>
      <c r="D103">
        <v>1</v>
      </c>
      <c r="E103">
        <f>_xlfn.XLOOKUP(Table1[[#This Row],[SKU (Product Code)]],'SKU Master'!A:A,'SKU Master'!B:B)</f>
        <v>240</v>
      </c>
      <c r="F103">
        <f>Table1[[#This Row],[Product weight]]*Table1[[#This Row],[Order Qty]]</f>
        <v>240</v>
      </c>
      <c r="G103">
        <f>Table1[[#This Row],[Weight per order (g)]]/1000</f>
        <v>0.24</v>
      </c>
      <c r="H103" s="1">
        <f>CEILING(Table1[[#This Row],[Weight per order (Kg)]],0.5)</f>
        <v>0.5</v>
      </c>
      <c r="I103" t="str">
        <f>_xlfn.XLOOKUP(Table1[[#This Row],[OrderID]],'Courier company invoice'!B:B,'Courier company invoice'!F:F)</f>
        <v>b</v>
      </c>
      <c r="J103" s="1" t="str">
        <f>_xlfn.XLOOKUP(Table1[[#This Row],[OrderID]],Table2[Order ID],Table2[Type of Shipment],"Not Found")</f>
        <v>Forward charges</v>
      </c>
      <c r="K103">
        <f>INDEX(Sheet1[],1,MATCH("fwd_"&amp;Table1[[#This Row],[Zone]]&amp;"_fixed",Sheet1[#Headers],0))</f>
        <v>33</v>
      </c>
      <c r="L103">
        <f>INDEX(Sheet1[],1,MATCH("fwd_"&amp;Table1[[#This Row],[Zone]]&amp;"_additional",Sheet1[#Headers],0))</f>
        <v>28.3</v>
      </c>
      <c r="M103" s="1">
        <f>(Table1[[#This Row],[Weight slab]]-0.5)/0.5</f>
        <v>0</v>
      </c>
      <c r="N103" s="1">
        <f>Table1[[#This Row],[Fixed_Charges]]+Table1[[#This Row],[No_of_Extra_slabs]]*Table1[[#This Row],[Additional_Charges]]</f>
        <v>33</v>
      </c>
      <c r="O103">
        <f>_xlfn.XLOOKUP(Table1[[#This Row],[OrderID]],'Courier company invoice'!B:B,'Courier company invoice'!H:H)</f>
        <v>33</v>
      </c>
      <c r="P103" s="1">
        <f>Table1[[#This Row],[Billing Amount]]-Table1[[#This Row],[Expected charges]]</f>
        <v>0</v>
      </c>
      <c r="Q103" s="1" t="str" cm="1">
        <f t="array" ref="Q10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104" spans="1:17" x14ac:dyDescent="0.3">
      <c r="A104" s="3" t="s">
        <v>35</v>
      </c>
      <c r="B104" s="2">
        <f>Table1[[#This Row],[Order ID]]*1</f>
        <v>2001811475</v>
      </c>
      <c r="C104" s="2">
        <v>8904223819499</v>
      </c>
      <c r="D104">
        <v>1</v>
      </c>
      <c r="E104">
        <f>_xlfn.XLOOKUP(Table1[[#This Row],[SKU (Product Code)]],'SKU Master'!A:A,'SKU Master'!B:B)</f>
        <v>210</v>
      </c>
      <c r="F104">
        <f>Table1[[#This Row],[Product weight]]*Table1[[#This Row],[Order Qty]]</f>
        <v>210</v>
      </c>
      <c r="G104">
        <f>Table1[[#This Row],[Weight per order (g)]]/1000</f>
        <v>0.21</v>
      </c>
      <c r="H104" s="1">
        <f>CEILING(Table1[[#This Row],[Weight per order (Kg)]],0.5)</f>
        <v>0.5</v>
      </c>
      <c r="I104" t="str">
        <f>_xlfn.XLOOKUP(Table1[[#This Row],[OrderID]],'Courier company invoice'!B:B,'Courier company invoice'!F:F)</f>
        <v>b</v>
      </c>
      <c r="J104" s="1" t="str">
        <f>_xlfn.XLOOKUP(Table1[[#This Row],[OrderID]],Table2[Order ID],Table2[Type of Shipment],"Not Found")</f>
        <v>Forward charges</v>
      </c>
      <c r="K104">
        <f>INDEX(Sheet1[],1,MATCH("fwd_"&amp;Table1[[#This Row],[Zone]]&amp;"_fixed",Sheet1[#Headers],0))</f>
        <v>33</v>
      </c>
      <c r="L104">
        <f>INDEX(Sheet1[],1,MATCH("fwd_"&amp;Table1[[#This Row],[Zone]]&amp;"_additional",Sheet1[#Headers],0))</f>
        <v>28.3</v>
      </c>
      <c r="M104" s="1">
        <f>(Table1[[#This Row],[Weight slab]]-0.5)/0.5</f>
        <v>0</v>
      </c>
      <c r="N104" s="1">
        <f>Table1[[#This Row],[Fixed_Charges]]+Table1[[#This Row],[No_of_Extra_slabs]]*Table1[[#This Row],[Additional_Charges]]</f>
        <v>33</v>
      </c>
      <c r="O104">
        <f>_xlfn.XLOOKUP(Table1[[#This Row],[OrderID]],'Courier company invoice'!B:B,'Courier company invoice'!H:H)</f>
        <v>33</v>
      </c>
      <c r="P104" s="1">
        <f>Table1[[#This Row],[Billing Amount]]-Table1[[#This Row],[Expected charges]]</f>
        <v>0</v>
      </c>
      <c r="Q104" s="1" t="str" cm="1">
        <f t="array" ref="Q10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105" spans="1:17" x14ac:dyDescent="0.3">
      <c r="A105" s="3" t="s">
        <v>35</v>
      </c>
      <c r="B105" s="2">
        <f>Table1[[#This Row],[Order ID]]*1</f>
        <v>2001811475</v>
      </c>
      <c r="C105" s="2">
        <v>8904223819031</v>
      </c>
      <c r="D105">
        <v>1</v>
      </c>
      <c r="E105">
        <f>_xlfn.XLOOKUP(Table1[[#This Row],[SKU (Product Code)]],'SKU Master'!A:A,'SKU Master'!B:B)</f>
        <v>112</v>
      </c>
      <c r="F105">
        <f>Table1[[#This Row],[Product weight]]*Table1[[#This Row],[Order Qty]]</f>
        <v>112</v>
      </c>
      <c r="G105">
        <f>Table1[[#This Row],[Weight per order (g)]]/1000</f>
        <v>0.112</v>
      </c>
      <c r="H105" s="1">
        <f>CEILING(Table1[[#This Row],[Weight per order (Kg)]],0.5)</f>
        <v>0.5</v>
      </c>
      <c r="I105" t="str">
        <f>_xlfn.XLOOKUP(Table1[[#This Row],[OrderID]],'Courier company invoice'!B:B,'Courier company invoice'!F:F)</f>
        <v>b</v>
      </c>
      <c r="J105" s="1" t="str">
        <f>_xlfn.XLOOKUP(Table1[[#This Row],[OrderID]],Table2[Order ID],Table2[Type of Shipment],"Not Found")</f>
        <v>Forward charges</v>
      </c>
      <c r="K105">
        <f>INDEX(Sheet1[],1,MATCH("fwd_"&amp;Table1[[#This Row],[Zone]]&amp;"_fixed",Sheet1[#Headers],0))</f>
        <v>33</v>
      </c>
      <c r="L105">
        <f>INDEX(Sheet1[],1,MATCH("fwd_"&amp;Table1[[#This Row],[Zone]]&amp;"_additional",Sheet1[#Headers],0))</f>
        <v>28.3</v>
      </c>
      <c r="M105" s="1">
        <f>(Table1[[#This Row],[Weight slab]]-0.5)/0.5</f>
        <v>0</v>
      </c>
      <c r="N105" s="1">
        <f>Table1[[#This Row],[Fixed_Charges]]+Table1[[#This Row],[No_of_Extra_slabs]]*Table1[[#This Row],[Additional_Charges]]</f>
        <v>33</v>
      </c>
      <c r="O105">
        <f>_xlfn.XLOOKUP(Table1[[#This Row],[OrderID]],'Courier company invoice'!B:B,'Courier company invoice'!H:H)</f>
        <v>33</v>
      </c>
      <c r="P105" s="1">
        <f>Table1[[#This Row],[Billing Amount]]-Table1[[#This Row],[Expected charges]]</f>
        <v>0</v>
      </c>
      <c r="Q105" s="1" t="str" cm="1">
        <f t="array" ref="Q10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106" spans="1:17" x14ac:dyDescent="0.3">
      <c r="A106" s="3" t="s">
        <v>36</v>
      </c>
      <c r="B106" s="2">
        <f>Table1[[#This Row],[Order ID]]*1</f>
        <v>2001811466</v>
      </c>
      <c r="C106" s="2">
        <v>8904223818706</v>
      </c>
      <c r="D106">
        <v>1</v>
      </c>
      <c r="E106">
        <f>_xlfn.XLOOKUP(Table1[[#This Row],[SKU (Product Code)]],'SKU Master'!A:A,'SKU Master'!B:B)</f>
        <v>127</v>
      </c>
      <c r="F106">
        <f>Table1[[#This Row],[Product weight]]*Table1[[#This Row],[Order Qty]]</f>
        <v>127</v>
      </c>
      <c r="G106">
        <f>Table1[[#This Row],[Weight per order (g)]]/1000</f>
        <v>0.127</v>
      </c>
      <c r="H106" s="1">
        <f>CEILING(Table1[[#This Row],[Weight per order (Kg)]],0.5)</f>
        <v>0.5</v>
      </c>
      <c r="I106" t="str">
        <f>_xlfn.XLOOKUP(Table1[[#This Row],[OrderID]],'Courier company invoice'!B:B,'Courier company invoice'!F:F)</f>
        <v>d</v>
      </c>
      <c r="J106" s="1" t="str">
        <f>_xlfn.XLOOKUP(Table1[[#This Row],[OrderID]],Table2[Order ID],Table2[Type of Shipment],"Not Found")</f>
        <v>Forward charges</v>
      </c>
      <c r="K106">
        <f>INDEX(Sheet1[],1,MATCH("fwd_"&amp;Table1[[#This Row],[Zone]]&amp;"_fixed",Sheet1[#Headers],0))</f>
        <v>45.4</v>
      </c>
      <c r="L106">
        <f>INDEX(Sheet1[],1,MATCH("fwd_"&amp;Table1[[#This Row],[Zone]]&amp;"_additional",Sheet1[#Headers],0))</f>
        <v>44.8</v>
      </c>
      <c r="M106" s="1">
        <f>(Table1[[#This Row],[Weight slab]]-0.5)/0.5</f>
        <v>0</v>
      </c>
      <c r="N106" s="1">
        <f>Table1[[#This Row],[Fixed_Charges]]+Table1[[#This Row],[No_of_Extra_slabs]]*Table1[[#This Row],[Additional_Charges]]</f>
        <v>45.4</v>
      </c>
      <c r="O106">
        <f>_xlfn.XLOOKUP(Table1[[#This Row],[OrderID]],'Courier company invoice'!B:B,'Courier company invoice'!H:H)</f>
        <v>90.2</v>
      </c>
      <c r="P106" s="1">
        <f>Table1[[#This Row],[Billing Amount]]-Table1[[#This Row],[Expected charges]]</f>
        <v>44.800000000000004</v>
      </c>
      <c r="Q106" s="1" t="str" cm="1">
        <f t="array" ref="Q10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07" spans="1:17" x14ac:dyDescent="0.3">
      <c r="A107" s="3" t="s">
        <v>36</v>
      </c>
      <c r="B107" s="2">
        <f>Table1[[#This Row],[Order ID]]*1</f>
        <v>2001811466</v>
      </c>
      <c r="C107" s="2">
        <v>8904223818850</v>
      </c>
      <c r="D107">
        <v>1</v>
      </c>
      <c r="E107">
        <f>_xlfn.XLOOKUP(Table1[[#This Row],[SKU (Product Code)]],'SKU Master'!A:A,'SKU Master'!B:B)</f>
        <v>240</v>
      </c>
      <c r="F107">
        <f>Table1[[#This Row],[Product weight]]*Table1[[#This Row],[Order Qty]]</f>
        <v>240</v>
      </c>
      <c r="G107">
        <f>Table1[[#This Row],[Weight per order (g)]]/1000</f>
        <v>0.24</v>
      </c>
      <c r="H107" s="1">
        <f>CEILING(Table1[[#This Row],[Weight per order (Kg)]],0.5)</f>
        <v>0.5</v>
      </c>
      <c r="I107" t="str">
        <f>_xlfn.XLOOKUP(Table1[[#This Row],[OrderID]],'Courier company invoice'!B:B,'Courier company invoice'!F:F)</f>
        <v>d</v>
      </c>
      <c r="J107" s="1" t="str">
        <f>_xlfn.XLOOKUP(Table1[[#This Row],[OrderID]],Table2[Order ID],Table2[Type of Shipment],"Not Found")</f>
        <v>Forward charges</v>
      </c>
      <c r="K107">
        <f>INDEX(Sheet1[],1,MATCH("fwd_"&amp;Table1[[#This Row],[Zone]]&amp;"_fixed",Sheet1[#Headers],0))</f>
        <v>45.4</v>
      </c>
      <c r="L107">
        <f>INDEX(Sheet1[],1,MATCH("fwd_"&amp;Table1[[#This Row],[Zone]]&amp;"_additional",Sheet1[#Headers],0))</f>
        <v>44.8</v>
      </c>
      <c r="M107" s="1">
        <f>(Table1[[#This Row],[Weight slab]]-0.5)/0.5</f>
        <v>0</v>
      </c>
      <c r="N107" s="1">
        <f>Table1[[#This Row],[Fixed_Charges]]+Table1[[#This Row],[No_of_Extra_slabs]]*Table1[[#This Row],[Additional_Charges]]</f>
        <v>45.4</v>
      </c>
      <c r="O107">
        <f>_xlfn.XLOOKUP(Table1[[#This Row],[OrderID]],'Courier company invoice'!B:B,'Courier company invoice'!H:H)</f>
        <v>90.2</v>
      </c>
      <c r="P107" s="1">
        <f>Table1[[#This Row],[Billing Amount]]-Table1[[#This Row],[Expected charges]]</f>
        <v>44.800000000000004</v>
      </c>
      <c r="Q107" s="1" t="str" cm="1">
        <f t="array" ref="Q10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08" spans="1:17" x14ac:dyDescent="0.3">
      <c r="A108" s="3" t="s">
        <v>36</v>
      </c>
      <c r="B108" s="2">
        <f>Table1[[#This Row],[Order ID]]*1</f>
        <v>2001811466</v>
      </c>
      <c r="C108" s="2">
        <v>8904223819468</v>
      </c>
      <c r="D108">
        <v>1</v>
      </c>
      <c r="E108">
        <f>_xlfn.XLOOKUP(Table1[[#This Row],[SKU (Product Code)]],'SKU Master'!A:A,'SKU Master'!B:B)</f>
        <v>240</v>
      </c>
      <c r="F108">
        <f>Table1[[#This Row],[Product weight]]*Table1[[#This Row],[Order Qty]]</f>
        <v>240</v>
      </c>
      <c r="G108">
        <f>Table1[[#This Row],[Weight per order (g)]]/1000</f>
        <v>0.24</v>
      </c>
      <c r="H108" s="1">
        <f>CEILING(Table1[[#This Row],[Weight per order (Kg)]],0.5)</f>
        <v>0.5</v>
      </c>
      <c r="I108" t="str">
        <f>_xlfn.XLOOKUP(Table1[[#This Row],[OrderID]],'Courier company invoice'!B:B,'Courier company invoice'!F:F)</f>
        <v>d</v>
      </c>
      <c r="J108" s="1" t="str">
        <f>_xlfn.XLOOKUP(Table1[[#This Row],[OrderID]],Table2[Order ID],Table2[Type of Shipment],"Not Found")</f>
        <v>Forward charges</v>
      </c>
      <c r="K108">
        <f>INDEX(Sheet1[],1,MATCH("fwd_"&amp;Table1[[#This Row],[Zone]]&amp;"_fixed",Sheet1[#Headers],0))</f>
        <v>45.4</v>
      </c>
      <c r="L108">
        <f>INDEX(Sheet1[],1,MATCH("fwd_"&amp;Table1[[#This Row],[Zone]]&amp;"_additional",Sheet1[#Headers],0))</f>
        <v>44.8</v>
      </c>
      <c r="M108" s="1">
        <f>(Table1[[#This Row],[Weight slab]]-0.5)/0.5</f>
        <v>0</v>
      </c>
      <c r="N108" s="1">
        <f>Table1[[#This Row],[Fixed_Charges]]+Table1[[#This Row],[No_of_Extra_slabs]]*Table1[[#This Row],[Additional_Charges]]</f>
        <v>45.4</v>
      </c>
      <c r="O108">
        <f>_xlfn.XLOOKUP(Table1[[#This Row],[OrderID]],'Courier company invoice'!B:B,'Courier company invoice'!H:H)</f>
        <v>90.2</v>
      </c>
      <c r="P108" s="1">
        <f>Table1[[#This Row],[Billing Amount]]-Table1[[#This Row],[Expected charges]]</f>
        <v>44.800000000000004</v>
      </c>
      <c r="Q108" s="1" t="str" cm="1">
        <f t="array" ref="Q10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09" spans="1:17" x14ac:dyDescent="0.3">
      <c r="A109" s="3" t="s">
        <v>37</v>
      </c>
      <c r="B109" s="2">
        <f>Table1[[#This Row],[Order ID]]*1</f>
        <v>2001811363</v>
      </c>
      <c r="C109" s="2">
        <v>8904223815859</v>
      </c>
      <c r="D109">
        <v>1</v>
      </c>
      <c r="E109">
        <f>_xlfn.XLOOKUP(Table1[[#This Row],[SKU (Product Code)]],'SKU Master'!A:A,'SKU Master'!B:B)</f>
        <v>165</v>
      </c>
      <c r="F109">
        <f>Table1[[#This Row],[Product weight]]*Table1[[#This Row],[Order Qty]]</f>
        <v>165</v>
      </c>
      <c r="G109">
        <f>Table1[[#This Row],[Weight per order (g)]]/1000</f>
        <v>0.16500000000000001</v>
      </c>
      <c r="H109" s="1">
        <f>CEILING(Table1[[#This Row],[Weight per order (Kg)]],0.5)</f>
        <v>0.5</v>
      </c>
      <c r="I109" t="str">
        <f>_xlfn.XLOOKUP(Table1[[#This Row],[OrderID]],'Courier company invoice'!B:B,'Courier company invoice'!F:F)</f>
        <v>d</v>
      </c>
      <c r="J109" s="1" t="str">
        <f>_xlfn.XLOOKUP(Table1[[#This Row],[OrderID]],Table2[Order ID],Table2[Type of Shipment],"Not Found")</f>
        <v>Forward charges</v>
      </c>
      <c r="K109">
        <f>INDEX(Sheet1[],1,MATCH("fwd_"&amp;Table1[[#This Row],[Zone]]&amp;"_fixed",Sheet1[#Headers],0))</f>
        <v>45.4</v>
      </c>
      <c r="L109">
        <f>INDEX(Sheet1[],1,MATCH("fwd_"&amp;Table1[[#This Row],[Zone]]&amp;"_additional",Sheet1[#Headers],0))</f>
        <v>44.8</v>
      </c>
      <c r="M109" s="1">
        <f>(Table1[[#This Row],[Weight slab]]-0.5)/0.5</f>
        <v>0</v>
      </c>
      <c r="N109" s="1">
        <f>Table1[[#This Row],[Fixed_Charges]]+Table1[[#This Row],[No_of_Extra_slabs]]*Table1[[#This Row],[Additional_Charges]]</f>
        <v>45.4</v>
      </c>
      <c r="O109">
        <f>_xlfn.XLOOKUP(Table1[[#This Row],[OrderID]],'Courier company invoice'!B:B,'Courier company invoice'!H:H)</f>
        <v>90.2</v>
      </c>
      <c r="P109" s="1">
        <f>Table1[[#This Row],[Billing Amount]]-Table1[[#This Row],[Expected charges]]</f>
        <v>44.800000000000004</v>
      </c>
      <c r="Q109" s="1" t="str" cm="1">
        <f t="array" ref="Q10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10" spans="1:17" x14ac:dyDescent="0.3">
      <c r="A110" s="3" t="s">
        <v>37</v>
      </c>
      <c r="B110" s="2">
        <f>Table1[[#This Row],[Order ID]]*1</f>
        <v>2001811363</v>
      </c>
      <c r="C110" s="2">
        <v>8904223818751</v>
      </c>
      <c r="D110">
        <v>1</v>
      </c>
      <c r="E110">
        <f>_xlfn.XLOOKUP(Table1[[#This Row],[SKU (Product Code)]],'SKU Master'!A:A,'SKU Master'!B:B)</f>
        <v>113</v>
      </c>
      <c r="F110">
        <f>Table1[[#This Row],[Product weight]]*Table1[[#This Row],[Order Qty]]</f>
        <v>113</v>
      </c>
      <c r="G110">
        <f>Table1[[#This Row],[Weight per order (g)]]/1000</f>
        <v>0.113</v>
      </c>
      <c r="H110" s="1">
        <f>CEILING(Table1[[#This Row],[Weight per order (Kg)]],0.5)</f>
        <v>0.5</v>
      </c>
      <c r="I110" t="str">
        <f>_xlfn.XLOOKUP(Table1[[#This Row],[OrderID]],'Courier company invoice'!B:B,'Courier company invoice'!F:F)</f>
        <v>d</v>
      </c>
      <c r="J110" s="1" t="str">
        <f>_xlfn.XLOOKUP(Table1[[#This Row],[OrderID]],Table2[Order ID],Table2[Type of Shipment],"Not Found")</f>
        <v>Forward charges</v>
      </c>
      <c r="K110">
        <f>INDEX(Sheet1[],1,MATCH("fwd_"&amp;Table1[[#This Row],[Zone]]&amp;"_fixed",Sheet1[#Headers],0))</f>
        <v>45.4</v>
      </c>
      <c r="L110">
        <f>INDEX(Sheet1[],1,MATCH("fwd_"&amp;Table1[[#This Row],[Zone]]&amp;"_additional",Sheet1[#Headers],0))</f>
        <v>44.8</v>
      </c>
      <c r="M110" s="1">
        <f>(Table1[[#This Row],[Weight slab]]-0.5)/0.5</f>
        <v>0</v>
      </c>
      <c r="N110" s="1">
        <f>Table1[[#This Row],[Fixed_Charges]]+Table1[[#This Row],[No_of_Extra_slabs]]*Table1[[#This Row],[Additional_Charges]]</f>
        <v>45.4</v>
      </c>
      <c r="O110">
        <f>_xlfn.XLOOKUP(Table1[[#This Row],[OrderID]],'Courier company invoice'!B:B,'Courier company invoice'!H:H)</f>
        <v>90.2</v>
      </c>
      <c r="P110" s="1">
        <f>Table1[[#This Row],[Billing Amount]]-Table1[[#This Row],[Expected charges]]</f>
        <v>44.800000000000004</v>
      </c>
      <c r="Q110" s="1" t="str" cm="1">
        <f t="array" ref="Q11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11" spans="1:17" x14ac:dyDescent="0.3">
      <c r="A111" s="3" t="s">
        <v>37</v>
      </c>
      <c r="B111" s="2">
        <f>Table1[[#This Row],[Order ID]]*1</f>
        <v>2001811363</v>
      </c>
      <c r="C111" s="2">
        <v>8904223815873</v>
      </c>
      <c r="D111">
        <v>1</v>
      </c>
      <c r="E111">
        <f>_xlfn.XLOOKUP(Table1[[#This Row],[SKU (Product Code)]],'SKU Master'!A:A,'SKU Master'!B:B)</f>
        <v>65</v>
      </c>
      <c r="F111">
        <f>Table1[[#This Row],[Product weight]]*Table1[[#This Row],[Order Qty]]</f>
        <v>65</v>
      </c>
      <c r="G111">
        <f>Table1[[#This Row],[Weight per order (g)]]/1000</f>
        <v>6.5000000000000002E-2</v>
      </c>
      <c r="H111" s="1">
        <f>CEILING(Table1[[#This Row],[Weight per order (Kg)]],0.5)</f>
        <v>0.5</v>
      </c>
      <c r="I111" t="str">
        <f>_xlfn.XLOOKUP(Table1[[#This Row],[OrderID]],'Courier company invoice'!B:B,'Courier company invoice'!F:F)</f>
        <v>d</v>
      </c>
      <c r="J111" s="1" t="str">
        <f>_xlfn.XLOOKUP(Table1[[#This Row],[OrderID]],Table2[Order ID],Table2[Type of Shipment],"Not Found")</f>
        <v>Forward charges</v>
      </c>
      <c r="K111">
        <f>INDEX(Sheet1[],1,MATCH("fwd_"&amp;Table1[[#This Row],[Zone]]&amp;"_fixed",Sheet1[#Headers],0))</f>
        <v>45.4</v>
      </c>
      <c r="L111">
        <f>INDEX(Sheet1[],1,MATCH("fwd_"&amp;Table1[[#This Row],[Zone]]&amp;"_additional",Sheet1[#Headers],0))</f>
        <v>44.8</v>
      </c>
      <c r="M111" s="1">
        <f>(Table1[[#This Row],[Weight slab]]-0.5)/0.5</f>
        <v>0</v>
      </c>
      <c r="N111" s="1">
        <f>Table1[[#This Row],[Fixed_Charges]]+Table1[[#This Row],[No_of_Extra_slabs]]*Table1[[#This Row],[Additional_Charges]]</f>
        <v>45.4</v>
      </c>
      <c r="O111">
        <f>_xlfn.XLOOKUP(Table1[[#This Row],[OrderID]],'Courier company invoice'!B:B,'Courier company invoice'!H:H)</f>
        <v>90.2</v>
      </c>
      <c r="P111" s="1">
        <f>Table1[[#This Row],[Billing Amount]]-Table1[[#This Row],[Expected charges]]</f>
        <v>44.800000000000004</v>
      </c>
      <c r="Q111" s="1" t="str" cm="1">
        <f t="array" ref="Q11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12" spans="1:17" x14ac:dyDescent="0.3">
      <c r="A112" s="3" t="s">
        <v>37</v>
      </c>
      <c r="B112" s="2">
        <f>Table1[[#This Row],[Order ID]]*1</f>
        <v>2001811363</v>
      </c>
      <c r="C112" s="2">
        <v>8904223815859</v>
      </c>
      <c r="D112">
        <v>1</v>
      </c>
      <c r="E112">
        <f>_xlfn.XLOOKUP(Table1[[#This Row],[SKU (Product Code)]],'SKU Master'!A:A,'SKU Master'!B:B)</f>
        <v>165</v>
      </c>
      <c r="F112">
        <f>Table1[[#This Row],[Product weight]]*Table1[[#This Row],[Order Qty]]</f>
        <v>165</v>
      </c>
      <c r="G112">
        <f>Table1[[#This Row],[Weight per order (g)]]/1000</f>
        <v>0.16500000000000001</v>
      </c>
      <c r="H112" s="1">
        <f>CEILING(Table1[[#This Row],[Weight per order (Kg)]],0.5)</f>
        <v>0.5</v>
      </c>
      <c r="I112" t="str">
        <f>_xlfn.XLOOKUP(Table1[[#This Row],[OrderID]],'Courier company invoice'!B:B,'Courier company invoice'!F:F)</f>
        <v>d</v>
      </c>
      <c r="J112" s="1" t="str">
        <f>_xlfn.XLOOKUP(Table1[[#This Row],[OrderID]],Table2[Order ID],Table2[Type of Shipment],"Not Found")</f>
        <v>Forward charges</v>
      </c>
      <c r="K112">
        <f>INDEX(Sheet1[],1,MATCH("fwd_"&amp;Table1[[#This Row],[Zone]]&amp;"_fixed",Sheet1[#Headers],0))</f>
        <v>45.4</v>
      </c>
      <c r="L112">
        <f>INDEX(Sheet1[],1,MATCH("fwd_"&amp;Table1[[#This Row],[Zone]]&amp;"_additional",Sheet1[#Headers],0))</f>
        <v>44.8</v>
      </c>
      <c r="M112" s="1">
        <f>(Table1[[#This Row],[Weight slab]]-0.5)/0.5</f>
        <v>0</v>
      </c>
      <c r="N112" s="1">
        <f>Table1[[#This Row],[Fixed_Charges]]+Table1[[#This Row],[No_of_Extra_slabs]]*Table1[[#This Row],[Additional_Charges]]</f>
        <v>45.4</v>
      </c>
      <c r="O112">
        <f>_xlfn.XLOOKUP(Table1[[#This Row],[OrderID]],'Courier company invoice'!B:B,'Courier company invoice'!H:H)</f>
        <v>90.2</v>
      </c>
      <c r="P112" s="1">
        <f>Table1[[#This Row],[Billing Amount]]-Table1[[#This Row],[Expected charges]]</f>
        <v>44.800000000000004</v>
      </c>
      <c r="Q112" s="1" t="str" cm="1">
        <f t="array" ref="Q11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13" spans="1:17" x14ac:dyDescent="0.3">
      <c r="A113" s="3" t="s">
        <v>38</v>
      </c>
      <c r="B113" s="2">
        <f>Table1[[#This Row],[Order ID]]*1</f>
        <v>2001811306</v>
      </c>
      <c r="C113" s="2">
        <v>8904223819352</v>
      </c>
      <c r="D113">
        <v>1</v>
      </c>
      <c r="E113">
        <f>_xlfn.XLOOKUP(Table1[[#This Row],[SKU (Product Code)]],'SKU Master'!A:A,'SKU Master'!B:B)</f>
        <v>165</v>
      </c>
      <c r="F113">
        <f>Table1[[#This Row],[Product weight]]*Table1[[#This Row],[Order Qty]]</f>
        <v>165</v>
      </c>
      <c r="G113">
        <f>Table1[[#This Row],[Weight per order (g)]]/1000</f>
        <v>0.16500000000000001</v>
      </c>
      <c r="H113" s="1">
        <f>CEILING(Table1[[#This Row],[Weight per order (Kg)]],0.5)</f>
        <v>0.5</v>
      </c>
      <c r="I113" t="str">
        <f>_xlfn.XLOOKUP(Table1[[#This Row],[OrderID]],'Courier company invoice'!B:B,'Courier company invoice'!F:F)</f>
        <v>d</v>
      </c>
      <c r="J113" s="1" t="str">
        <f>_xlfn.XLOOKUP(Table1[[#This Row],[OrderID]],Table2[Order ID],Table2[Type of Shipment],"Not Found")</f>
        <v>Forward charges</v>
      </c>
      <c r="K113">
        <f>INDEX(Sheet1[],1,MATCH("fwd_"&amp;Table1[[#This Row],[Zone]]&amp;"_fixed",Sheet1[#Headers],0))</f>
        <v>45.4</v>
      </c>
      <c r="L113">
        <f>INDEX(Sheet1[],1,MATCH("fwd_"&amp;Table1[[#This Row],[Zone]]&amp;"_additional",Sheet1[#Headers],0))</f>
        <v>44.8</v>
      </c>
      <c r="M113" s="1">
        <f>(Table1[[#This Row],[Weight slab]]-0.5)/0.5</f>
        <v>0</v>
      </c>
      <c r="N113" s="1">
        <f>Table1[[#This Row],[Fixed_Charges]]+Table1[[#This Row],[No_of_Extra_slabs]]*Table1[[#This Row],[Additional_Charges]]</f>
        <v>45.4</v>
      </c>
      <c r="O113">
        <f>_xlfn.XLOOKUP(Table1[[#This Row],[OrderID]],'Courier company invoice'!B:B,'Courier company invoice'!H:H)</f>
        <v>135</v>
      </c>
      <c r="P113" s="1">
        <f>Table1[[#This Row],[Billing Amount]]-Table1[[#This Row],[Expected charges]]</f>
        <v>89.6</v>
      </c>
      <c r="Q113" s="1" t="str" cm="1">
        <f t="array" ref="Q11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14" spans="1:17" x14ac:dyDescent="0.3">
      <c r="A114" s="3" t="s">
        <v>38</v>
      </c>
      <c r="B114" s="2">
        <f>Table1[[#This Row],[Order ID]]*1</f>
        <v>2001811306</v>
      </c>
      <c r="C114" s="2">
        <v>8904223819543</v>
      </c>
      <c r="D114">
        <v>1</v>
      </c>
      <c r="E114">
        <f>_xlfn.XLOOKUP(Table1[[#This Row],[SKU (Product Code)]],'SKU Master'!A:A,'SKU Master'!B:B)</f>
        <v>300</v>
      </c>
      <c r="F114">
        <f>Table1[[#This Row],[Product weight]]*Table1[[#This Row],[Order Qty]]</f>
        <v>300</v>
      </c>
      <c r="G114">
        <f>Table1[[#This Row],[Weight per order (g)]]/1000</f>
        <v>0.3</v>
      </c>
      <c r="H114" s="1">
        <f>CEILING(Table1[[#This Row],[Weight per order (Kg)]],0.5)</f>
        <v>0.5</v>
      </c>
      <c r="I114" t="str">
        <f>_xlfn.XLOOKUP(Table1[[#This Row],[OrderID]],'Courier company invoice'!B:B,'Courier company invoice'!F:F)</f>
        <v>d</v>
      </c>
      <c r="J114" s="1" t="str">
        <f>_xlfn.XLOOKUP(Table1[[#This Row],[OrderID]],Table2[Order ID],Table2[Type of Shipment],"Not Found")</f>
        <v>Forward charges</v>
      </c>
      <c r="K114">
        <f>INDEX(Sheet1[],1,MATCH("fwd_"&amp;Table1[[#This Row],[Zone]]&amp;"_fixed",Sheet1[#Headers],0))</f>
        <v>45.4</v>
      </c>
      <c r="L114">
        <f>INDEX(Sheet1[],1,MATCH("fwd_"&amp;Table1[[#This Row],[Zone]]&amp;"_additional",Sheet1[#Headers],0))</f>
        <v>44.8</v>
      </c>
      <c r="M114" s="1">
        <f>(Table1[[#This Row],[Weight slab]]-0.5)/0.5</f>
        <v>0</v>
      </c>
      <c r="N114" s="1">
        <f>Table1[[#This Row],[Fixed_Charges]]+Table1[[#This Row],[No_of_Extra_slabs]]*Table1[[#This Row],[Additional_Charges]]</f>
        <v>45.4</v>
      </c>
      <c r="O114">
        <f>_xlfn.XLOOKUP(Table1[[#This Row],[OrderID]],'Courier company invoice'!B:B,'Courier company invoice'!H:H)</f>
        <v>135</v>
      </c>
      <c r="P114" s="1">
        <f>Table1[[#This Row],[Billing Amount]]-Table1[[#This Row],[Expected charges]]</f>
        <v>89.6</v>
      </c>
      <c r="Q114" s="1" t="str" cm="1">
        <f t="array" ref="Q11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15" spans="1:17" x14ac:dyDescent="0.3">
      <c r="A115" s="3" t="s">
        <v>38</v>
      </c>
      <c r="B115" s="2">
        <f>Table1[[#This Row],[Order ID]]*1</f>
        <v>2001811306</v>
      </c>
      <c r="C115" s="2">
        <v>8904223819147</v>
      </c>
      <c r="D115">
        <v>1</v>
      </c>
      <c r="E115">
        <f>_xlfn.XLOOKUP(Table1[[#This Row],[SKU (Product Code)]],'SKU Master'!A:A,'SKU Master'!B:B)</f>
        <v>240</v>
      </c>
      <c r="F115">
        <f>Table1[[#This Row],[Product weight]]*Table1[[#This Row],[Order Qty]]</f>
        <v>240</v>
      </c>
      <c r="G115">
        <f>Table1[[#This Row],[Weight per order (g)]]/1000</f>
        <v>0.24</v>
      </c>
      <c r="H115" s="1">
        <f>CEILING(Table1[[#This Row],[Weight per order (Kg)]],0.5)</f>
        <v>0.5</v>
      </c>
      <c r="I115" t="str">
        <f>_xlfn.XLOOKUP(Table1[[#This Row],[OrderID]],'Courier company invoice'!B:B,'Courier company invoice'!F:F)</f>
        <v>d</v>
      </c>
      <c r="J115" s="1" t="str">
        <f>_xlfn.XLOOKUP(Table1[[#This Row],[OrderID]],Table2[Order ID],Table2[Type of Shipment],"Not Found")</f>
        <v>Forward charges</v>
      </c>
      <c r="K115">
        <f>INDEX(Sheet1[],1,MATCH("fwd_"&amp;Table1[[#This Row],[Zone]]&amp;"_fixed",Sheet1[#Headers],0))</f>
        <v>45.4</v>
      </c>
      <c r="L115">
        <f>INDEX(Sheet1[],1,MATCH("fwd_"&amp;Table1[[#This Row],[Zone]]&amp;"_additional",Sheet1[#Headers],0))</f>
        <v>44.8</v>
      </c>
      <c r="M115" s="1">
        <f>(Table1[[#This Row],[Weight slab]]-0.5)/0.5</f>
        <v>0</v>
      </c>
      <c r="N115" s="1">
        <f>Table1[[#This Row],[Fixed_Charges]]+Table1[[#This Row],[No_of_Extra_slabs]]*Table1[[#This Row],[Additional_Charges]]</f>
        <v>45.4</v>
      </c>
      <c r="O115">
        <f>_xlfn.XLOOKUP(Table1[[#This Row],[OrderID]],'Courier company invoice'!B:B,'Courier company invoice'!H:H)</f>
        <v>135</v>
      </c>
      <c r="P115" s="1">
        <f>Table1[[#This Row],[Billing Amount]]-Table1[[#This Row],[Expected charges]]</f>
        <v>89.6</v>
      </c>
      <c r="Q115" s="1" t="str" cm="1">
        <f t="array" ref="Q11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16" spans="1:17" x14ac:dyDescent="0.3">
      <c r="A116" s="3" t="s">
        <v>38</v>
      </c>
      <c r="B116" s="2">
        <f>Table1[[#This Row],[Order ID]]*1</f>
        <v>2001811306</v>
      </c>
      <c r="C116" s="2">
        <v>8904223819468</v>
      </c>
      <c r="D116">
        <v>1</v>
      </c>
      <c r="E116">
        <f>_xlfn.XLOOKUP(Table1[[#This Row],[SKU (Product Code)]],'SKU Master'!A:A,'SKU Master'!B:B)</f>
        <v>240</v>
      </c>
      <c r="F116">
        <f>Table1[[#This Row],[Product weight]]*Table1[[#This Row],[Order Qty]]</f>
        <v>240</v>
      </c>
      <c r="G116">
        <f>Table1[[#This Row],[Weight per order (g)]]/1000</f>
        <v>0.24</v>
      </c>
      <c r="H116" s="1">
        <f>CEILING(Table1[[#This Row],[Weight per order (Kg)]],0.5)</f>
        <v>0.5</v>
      </c>
      <c r="I116" t="str">
        <f>_xlfn.XLOOKUP(Table1[[#This Row],[OrderID]],'Courier company invoice'!B:B,'Courier company invoice'!F:F)</f>
        <v>d</v>
      </c>
      <c r="J116" s="1" t="str">
        <f>_xlfn.XLOOKUP(Table1[[#This Row],[OrderID]],Table2[Order ID],Table2[Type of Shipment],"Not Found")</f>
        <v>Forward charges</v>
      </c>
      <c r="K116">
        <f>INDEX(Sheet1[],1,MATCH("fwd_"&amp;Table1[[#This Row],[Zone]]&amp;"_fixed",Sheet1[#Headers],0))</f>
        <v>45.4</v>
      </c>
      <c r="L116">
        <f>INDEX(Sheet1[],1,MATCH("fwd_"&amp;Table1[[#This Row],[Zone]]&amp;"_additional",Sheet1[#Headers],0))</f>
        <v>44.8</v>
      </c>
      <c r="M116" s="1">
        <f>(Table1[[#This Row],[Weight slab]]-0.5)/0.5</f>
        <v>0</v>
      </c>
      <c r="N116" s="1">
        <f>Table1[[#This Row],[Fixed_Charges]]+Table1[[#This Row],[No_of_Extra_slabs]]*Table1[[#This Row],[Additional_Charges]]</f>
        <v>45.4</v>
      </c>
      <c r="O116">
        <f>_xlfn.XLOOKUP(Table1[[#This Row],[OrderID]],'Courier company invoice'!B:B,'Courier company invoice'!H:H)</f>
        <v>135</v>
      </c>
      <c r="P116" s="1">
        <f>Table1[[#This Row],[Billing Amount]]-Table1[[#This Row],[Expected charges]]</f>
        <v>89.6</v>
      </c>
      <c r="Q116" s="1" t="str" cm="1">
        <f t="array" ref="Q11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17" spans="1:17" x14ac:dyDescent="0.3">
      <c r="A117" s="3" t="s">
        <v>39</v>
      </c>
      <c r="B117" s="2">
        <f>Table1[[#This Row],[Order ID]]*1</f>
        <v>2001811305</v>
      </c>
      <c r="C117" s="2">
        <v>8904223816214</v>
      </c>
      <c r="D117">
        <v>1</v>
      </c>
      <c r="E117">
        <f>_xlfn.XLOOKUP(Table1[[#This Row],[SKU (Product Code)]],'SKU Master'!A:A,'SKU Master'!B:B)</f>
        <v>120</v>
      </c>
      <c r="F117">
        <f>Table1[[#This Row],[Product weight]]*Table1[[#This Row],[Order Qty]]</f>
        <v>120</v>
      </c>
      <c r="G117">
        <f>Table1[[#This Row],[Weight per order (g)]]/1000</f>
        <v>0.12</v>
      </c>
      <c r="H117" s="1">
        <f>CEILING(Table1[[#This Row],[Weight per order (Kg)]],0.5)</f>
        <v>0.5</v>
      </c>
      <c r="I117" t="str">
        <f>_xlfn.XLOOKUP(Table1[[#This Row],[OrderID]],'Courier company invoice'!B:B,'Courier company invoice'!F:F)</f>
        <v>d</v>
      </c>
      <c r="J117" s="1" t="str">
        <f>_xlfn.XLOOKUP(Table1[[#This Row],[OrderID]],Table2[Order ID],Table2[Type of Shipment],"Not Found")</f>
        <v>Forward charges</v>
      </c>
      <c r="K117">
        <f>INDEX(Sheet1[],1,MATCH("fwd_"&amp;Table1[[#This Row],[Zone]]&amp;"_fixed",Sheet1[#Headers],0))</f>
        <v>45.4</v>
      </c>
      <c r="L117">
        <f>INDEX(Sheet1[],1,MATCH("fwd_"&amp;Table1[[#This Row],[Zone]]&amp;"_additional",Sheet1[#Headers],0))</f>
        <v>44.8</v>
      </c>
      <c r="M117" s="1">
        <f>(Table1[[#This Row],[Weight slab]]-0.5)/0.5</f>
        <v>0</v>
      </c>
      <c r="N117" s="1">
        <f>Table1[[#This Row],[Fixed_Charges]]+Table1[[#This Row],[No_of_Extra_slabs]]*Table1[[#This Row],[Additional_Charges]]</f>
        <v>45.4</v>
      </c>
      <c r="O117">
        <f>_xlfn.XLOOKUP(Table1[[#This Row],[OrderID]],'Courier company invoice'!B:B,'Courier company invoice'!H:H)</f>
        <v>45.4</v>
      </c>
      <c r="P117" s="1">
        <f>Table1[[#This Row],[Billing Amount]]-Table1[[#This Row],[Expected charges]]</f>
        <v>0</v>
      </c>
      <c r="Q117" s="1" t="str" cm="1">
        <f t="array" ref="Q11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118" spans="1:17" x14ac:dyDescent="0.3">
      <c r="A118" s="3" t="s">
        <v>39</v>
      </c>
      <c r="B118" s="2">
        <f>Table1[[#This Row],[Order ID]]*1</f>
        <v>2001811305</v>
      </c>
      <c r="C118" s="2">
        <v>8904223819499</v>
      </c>
      <c r="D118">
        <v>1</v>
      </c>
      <c r="E118">
        <f>_xlfn.XLOOKUP(Table1[[#This Row],[SKU (Product Code)]],'SKU Master'!A:A,'SKU Master'!B:B)</f>
        <v>210</v>
      </c>
      <c r="F118">
        <f>Table1[[#This Row],[Product weight]]*Table1[[#This Row],[Order Qty]]</f>
        <v>210</v>
      </c>
      <c r="G118">
        <f>Table1[[#This Row],[Weight per order (g)]]/1000</f>
        <v>0.21</v>
      </c>
      <c r="H118" s="1">
        <f>CEILING(Table1[[#This Row],[Weight per order (Kg)]],0.5)</f>
        <v>0.5</v>
      </c>
      <c r="I118" t="str">
        <f>_xlfn.XLOOKUP(Table1[[#This Row],[OrderID]],'Courier company invoice'!B:B,'Courier company invoice'!F:F)</f>
        <v>d</v>
      </c>
      <c r="J118" s="1" t="str">
        <f>_xlfn.XLOOKUP(Table1[[#This Row],[OrderID]],Table2[Order ID],Table2[Type of Shipment],"Not Found")</f>
        <v>Forward charges</v>
      </c>
      <c r="K118">
        <f>INDEX(Sheet1[],1,MATCH("fwd_"&amp;Table1[[#This Row],[Zone]]&amp;"_fixed",Sheet1[#Headers],0))</f>
        <v>45.4</v>
      </c>
      <c r="L118">
        <f>INDEX(Sheet1[],1,MATCH("fwd_"&amp;Table1[[#This Row],[Zone]]&amp;"_additional",Sheet1[#Headers],0))</f>
        <v>44.8</v>
      </c>
      <c r="M118" s="1">
        <f>(Table1[[#This Row],[Weight slab]]-0.5)/0.5</f>
        <v>0</v>
      </c>
      <c r="N118" s="1">
        <f>Table1[[#This Row],[Fixed_Charges]]+Table1[[#This Row],[No_of_Extra_slabs]]*Table1[[#This Row],[Additional_Charges]]</f>
        <v>45.4</v>
      </c>
      <c r="O118">
        <f>_xlfn.XLOOKUP(Table1[[#This Row],[OrderID]],'Courier company invoice'!B:B,'Courier company invoice'!H:H)</f>
        <v>45.4</v>
      </c>
      <c r="P118" s="1">
        <f>Table1[[#This Row],[Billing Amount]]-Table1[[#This Row],[Expected charges]]</f>
        <v>0</v>
      </c>
      <c r="Q118" s="1" t="str" cm="1">
        <f t="array" ref="Q11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119" spans="1:17" x14ac:dyDescent="0.3">
      <c r="A119" s="3" t="s">
        <v>39</v>
      </c>
      <c r="B119" s="2">
        <f>Table1[[#This Row],[Order ID]]*1</f>
        <v>2001811305</v>
      </c>
      <c r="C119" s="2">
        <v>8904223819505</v>
      </c>
      <c r="D119">
        <v>1</v>
      </c>
      <c r="E119">
        <f>_xlfn.XLOOKUP(Table1[[#This Row],[SKU (Product Code)]],'SKU Master'!A:A,'SKU Master'!B:B)</f>
        <v>210</v>
      </c>
      <c r="F119">
        <f>Table1[[#This Row],[Product weight]]*Table1[[#This Row],[Order Qty]]</f>
        <v>210</v>
      </c>
      <c r="G119">
        <f>Table1[[#This Row],[Weight per order (g)]]/1000</f>
        <v>0.21</v>
      </c>
      <c r="H119" s="1">
        <f>CEILING(Table1[[#This Row],[Weight per order (Kg)]],0.5)</f>
        <v>0.5</v>
      </c>
      <c r="I119" t="str">
        <f>_xlfn.XLOOKUP(Table1[[#This Row],[OrderID]],'Courier company invoice'!B:B,'Courier company invoice'!F:F)</f>
        <v>d</v>
      </c>
      <c r="J119" s="1" t="str">
        <f>_xlfn.XLOOKUP(Table1[[#This Row],[OrderID]],Table2[Order ID],Table2[Type of Shipment],"Not Found")</f>
        <v>Forward charges</v>
      </c>
      <c r="K119">
        <f>INDEX(Sheet1[],1,MATCH("fwd_"&amp;Table1[[#This Row],[Zone]]&amp;"_fixed",Sheet1[#Headers],0))</f>
        <v>45.4</v>
      </c>
      <c r="L119">
        <f>INDEX(Sheet1[],1,MATCH("fwd_"&amp;Table1[[#This Row],[Zone]]&amp;"_additional",Sheet1[#Headers],0))</f>
        <v>44.8</v>
      </c>
      <c r="M119" s="1">
        <f>(Table1[[#This Row],[Weight slab]]-0.5)/0.5</f>
        <v>0</v>
      </c>
      <c r="N119" s="1">
        <f>Table1[[#This Row],[Fixed_Charges]]+Table1[[#This Row],[No_of_Extra_slabs]]*Table1[[#This Row],[Additional_Charges]]</f>
        <v>45.4</v>
      </c>
      <c r="O119">
        <f>_xlfn.XLOOKUP(Table1[[#This Row],[OrderID]],'Courier company invoice'!B:B,'Courier company invoice'!H:H)</f>
        <v>45.4</v>
      </c>
      <c r="P119" s="1">
        <f>Table1[[#This Row],[Billing Amount]]-Table1[[#This Row],[Expected charges]]</f>
        <v>0</v>
      </c>
      <c r="Q119" s="1" t="str" cm="1">
        <f t="array" ref="Q11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120" spans="1:17" x14ac:dyDescent="0.3">
      <c r="A120" s="3" t="s">
        <v>39</v>
      </c>
      <c r="B120" s="2">
        <f>Table1[[#This Row],[Order ID]]*1</f>
        <v>2001811305</v>
      </c>
      <c r="C120" s="2">
        <v>8904223819512</v>
      </c>
      <c r="D120">
        <v>1</v>
      </c>
      <c r="E120">
        <f>_xlfn.XLOOKUP(Table1[[#This Row],[SKU (Product Code)]],'SKU Master'!A:A,'SKU Master'!B:B)</f>
        <v>210</v>
      </c>
      <c r="F120">
        <f>Table1[[#This Row],[Product weight]]*Table1[[#This Row],[Order Qty]]</f>
        <v>210</v>
      </c>
      <c r="G120">
        <f>Table1[[#This Row],[Weight per order (g)]]/1000</f>
        <v>0.21</v>
      </c>
      <c r="H120" s="1">
        <f>CEILING(Table1[[#This Row],[Weight per order (Kg)]],0.5)</f>
        <v>0.5</v>
      </c>
      <c r="I120" t="str">
        <f>_xlfn.XLOOKUP(Table1[[#This Row],[OrderID]],'Courier company invoice'!B:B,'Courier company invoice'!F:F)</f>
        <v>d</v>
      </c>
      <c r="J120" s="1" t="str">
        <f>_xlfn.XLOOKUP(Table1[[#This Row],[OrderID]],Table2[Order ID],Table2[Type of Shipment],"Not Found")</f>
        <v>Forward charges</v>
      </c>
      <c r="K120">
        <f>INDEX(Sheet1[],1,MATCH("fwd_"&amp;Table1[[#This Row],[Zone]]&amp;"_fixed",Sheet1[#Headers],0))</f>
        <v>45.4</v>
      </c>
      <c r="L120">
        <f>INDEX(Sheet1[],1,MATCH("fwd_"&amp;Table1[[#This Row],[Zone]]&amp;"_additional",Sheet1[#Headers],0))</f>
        <v>44.8</v>
      </c>
      <c r="M120" s="1">
        <f>(Table1[[#This Row],[Weight slab]]-0.5)/0.5</f>
        <v>0</v>
      </c>
      <c r="N120" s="1">
        <f>Table1[[#This Row],[Fixed_Charges]]+Table1[[#This Row],[No_of_Extra_slabs]]*Table1[[#This Row],[Additional_Charges]]</f>
        <v>45.4</v>
      </c>
      <c r="O120">
        <f>_xlfn.XLOOKUP(Table1[[#This Row],[OrderID]],'Courier company invoice'!B:B,'Courier company invoice'!H:H)</f>
        <v>45.4</v>
      </c>
      <c r="P120" s="1">
        <f>Table1[[#This Row],[Billing Amount]]-Table1[[#This Row],[Expected charges]]</f>
        <v>0</v>
      </c>
      <c r="Q120" s="1" t="str" cm="1">
        <f t="array" ref="Q12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121" spans="1:17" x14ac:dyDescent="0.3">
      <c r="A121" s="3" t="s">
        <v>40</v>
      </c>
      <c r="B121" s="2">
        <f>Table1[[#This Row],[Order ID]]*1</f>
        <v>2001811229</v>
      </c>
      <c r="C121" s="2">
        <v>8904223819468</v>
      </c>
      <c r="D121">
        <v>1</v>
      </c>
      <c r="E121">
        <f>_xlfn.XLOOKUP(Table1[[#This Row],[SKU (Product Code)]],'SKU Master'!A:A,'SKU Master'!B:B)</f>
        <v>240</v>
      </c>
      <c r="F121">
        <f>Table1[[#This Row],[Product weight]]*Table1[[#This Row],[Order Qty]]</f>
        <v>240</v>
      </c>
      <c r="G121">
        <f>Table1[[#This Row],[Weight per order (g)]]/1000</f>
        <v>0.24</v>
      </c>
      <c r="H121" s="1">
        <f>CEILING(Table1[[#This Row],[Weight per order (Kg)]],0.5)</f>
        <v>0.5</v>
      </c>
      <c r="I121" t="str">
        <f>_xlfn.XLOOKUP(Table1[[#This Row],[OrderID]],'Courier company invoice'!B:B,'Courier company invoice'!F:F)</f>
        <v>d</v>
      </c>
      <c r="J121" s="1" t="str">
        <f>_xlfn.XLOOKUP(Table1[[#This Row],[OrderID]],Table2[Order ID],Table2[Type of Shipment],"Not Found")</f>
        <v>Forward charges</v>
      </c>
      <c r="K121">
        <f>INDEX(Sheet1[],1,MATCH("fwd_"&amp;Table1[[#This Row],[Zone]]&amp;"_fixed",Sheet1[#Headers],0))</f>
        <v>45.4</v>
      </c>
      <c r="L121">
        <f>INDEX(Sheet1[],1,MATCH("fwd_"&amp;Table1[[#This Row],[Zone]]&amp;"_additional",Sheet1[#Headers],0))</f>
        <v>44.8</v>
      </c>
      <c r="M121" s="1">
        <f>(Table1[[#This Row],[Weight slab]]-0.5)/0.5</f>
        <v>0</v>
      </c>
      <c r="N121" s="1">
        <f>Table1[[#This Row],[Fixed_Charges]]+Table1[[#This Row],[No_of_Extra_slabs]]*Table1[[#This Row],[Additional_Charges]]</f>
        <v>45.4</v>
      </c>
      <c r="O121">
        <f>_xlfn.XLOOKUP(Table1[[#This Row],[OrderID]],'Courier company invoice'!B:B,'Courier company invoice'!H:H)</f>
        <v>90.2</v>
      </c>
      <c r="P121" s="1">
        <f>Table1[[#This Row],[Billing Amount]]-Table1[[#This Row],[Expected charges]]</f>
        <v>44.800000000000004</v>
      </c>
      <c r="Q121" s="1" t="str" cm="1">
        <f t="array" ref="Q12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22" spans="1:17" x14ac:dyDescent="0.3">
      <c r="A122" s="3" t="s">
        <v>40</v>
      </c>
      <c r="B122" s="2">
        <f>Table1[[#This Row],[Order ID]]*1</f>
        <v>2001811229</v>
      </c>
      <c r="C122" s="2">
        <v>8904223819345</v>
      </c>
      <c r="D122">
        <v>1</v>
      </c>
      <c r="E122">
        <f>_xlfn.XLOOKUP(Table1[[#This Row],[SKU (Product Code)]],'SKU Master'!A:A,'SKU Master'!B:B)</f>
        <v>165</v>
      </c>
      <c r="F122">
        <f>Table1[[#This Row],[Product weight]]*Table1[[#This Row],[Order Qty]]</f>
        <v>165</v>
      </c>
      <c r="G122">
        <f>Table1[[#This Row],[Weight per order (g)]]/1000</f>
        <v>0.16500000000000001</v>
      </c>
      <c r="H122" s="1">
        <f>CEILING(Table1[[#This Row],[Weight per order (Kg)]],0.5)</f>
        <v>0.5</v>
      </c>
      <c r="I122" t="str">
        <f>_xlfn.XLOOKUP(Table1[[#This Row],[OrderID]],'Courier company invoice'!B:B,'Courier company invoice'!F:F)</f>
        <v>d</v>
      </c>
      <c r="J122" s="1" t="str">
        <f>_xlfn.XLOOKUP(Table1[[#This Row],[OrderID]],Table2[Order ID],Table2[Type of Shipment],"Not Found")</f>
        <v>Forward charges</v>
      </c>
      <c r="K122">
        <f>INDEX(Sheet1[],1,MATCH("fwd_"&amp;Table1[[#This Row],[Zone]]&amp;"_fixed",Sheet1[#Headers],0))</f>
        <v>45.4</v>
      </c>
      <c r="L122">
        <f>INDEX(Sheet1[],1,MATCH("fwd_"&amp;Table1[[#This Row],[Zone]]&amp;"_additional",Sheet1[#Headers],0))</f>
        <v>44.8</v>
      </c>
      <c r="M122" s="1">
        <f>(Table1[[#This Row],[Weight slab]]-0.5)/0.5</f>
        <v>0</v>
      </c>
      <c r="N122" s="1">
        <f>Table1[[#This Row],[Fixed_Charges]]+Table1[[#This Row],[No_of_Extra_slabs]]*Table1[[#This Row],[Additional_Charges]]</f>
        <v>45.4</v>
      </c>
      <c r="O122">
        <f>_xlfn.XLOOKUP(Table1[[#This Row],[OrderID]],'Courier company invoice'!B:B,'Courier company invoice'!H:H)</f>
        <v>90.2</v>
      </c>
      <c r="P122" s="1">
        <f>Table1[[#This Row],[Billing Amount]]-Table1[[#This Row],[Expected charges]]</f>
        <v>44.800000000000004</v>
      </c>
      <c r="Q122" s="1" t="str" cm="1">
        <f t="array" ref="Q12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23" spans="1:17" x14ac:dyDescent="0.3">
      <c r="A123" s="3" t="s">
        <v>40</v>
      </c>
      <c r="B123" s="2">
        <f>Table1[[#This Row],[Order ID]]*1</f>
        <v>2001811229</v>
      </c>
      <c r="C123" s="2">
        <v>8904223818874</v>
      </c>
      <c r="D123">
        <v>1</v>
      </c>
      <c r="E123">
        <f>_xlfn.XLOOKUP(Table1[[#This Row],[SKU (Product Code)]],'SKU Master'!A:A,'SKU Master'!B:B)</f>
        <v>100</v>
      </c>
      <c r="F123">
        <f>Table1[[#This Row],[Product weight]]*Table1[[#This Row],[Order Qty]]</f>
        <v>100</v>
      </c>
      <c r="G123">
        <f>Table1[[#This Row],[Weight per order (g)]]/1000</f>
        <v>0.1</v>
      </c>
      <c r="H123" s="1">
        <f>CEILING(Table1[[#This Row],[Weight per order (Kg)]],0.5)</f>
        <v>0.5</v>
      </c>
      <c r="I123" t="str">
        <f>_xlfn.XLOOKUP(Table1[[#This Row],[OrderID]],'Courier company invoice'!B:B,'Courier company invoice'!F:F)</f>
        <v>d</v>
      </c>
      <c r="J123" s="1" t="str">
        <f>_xlfn.XLOOKUP(Table1[[#This Row],[OrderID]],Table2[Order ID],Table2[Type of Shipment],"Not Found")</f>
        <v>Forward charges</v>
      </c>
      <c r="K123">
        <f>INDEX(Sheet1[],1,MATCH("fwd_"&amp;Table1[[#This Row],[Zone]]&amp;"_fixed",Sheet1[#Headers],0))</f>
        <v>45.4</v>
      </c>
      <c r="L123">
        <f>INDEX(Sheet1[],1,MATCH("fwd_"&amp;Table1[[#This Row],[Zone]]&amp;"_additional",Sheet1[#Headers],0))</f>
        <v>44.8</v>
      </c>
      <c r="M123" s="1">
        <f>(Table1[[#This Row],[Weight slab]]-0.5)/0.5</f>
        <v>0</v>
      </c>
      <c r="N123" s="1">
        <f>Table1[[#This Row],[Fixed_Charges]]+Table1[[#This Row],[No_of_Extra_slabs]]*Table1[[#This Row],[Additional_Charges]]</f>
        <v>45.4</v>
      </c>
      <c r="O123">
        <f>_xlfn.XLOOKUP(Table1[[#This Row],[OrderID]],'Courier company invoice'!B:B,'Courier company invoice'!H:H)</f>
        <v>90.2</v>
      </c>
      <c r="P123" s="1">
        <f>Table1[[#This Row],[Billing Amount]]-Table1[[#This Row],[Expected charges]]</f>
        <v>44.800000000000004</v>
      </c>
      <c r="Q123" s="1" t="str" cm="1">
        <f t="array" ref="Q12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24" spans="1:17" x14ac:dyDescent="0.3">
      <c r="A124" s="3" t="s">
        <v>41</v>
      </c>
      <c r="B124" s="2">
        <f>Table1[[#This Row],[Order ID]]*1</f>
        <v>2001811192</v>
      </c>
      <c r="C124" s="2">
        <v>8904223816214</v>
      </c>
      <c r="D124">
        <v>1</v>
      </c>
      <c r="E124">
        <f>_xlfn.XLOOKUP(Table1[[#This Row],[SKU (Product Code)]],'SKU Master'!A:A,'SKU Master'!B:B)</f>
        <v>120</v>
      </c>
      <c r="F124">
        <f>Table1[[#This Row],[Product weight]]*Table1[[#This Row],[Order Qty]]</f>
        <v>120</v>
      </c>
      <c r="G124">
        <f>Table1[[#This Row],[Weight per order (g)]]/1000</f>
        <v>0.12</v>
      </c>
      <c r="H124" s="1">
        <f>CEILING(Table1[[#This Row],[Weight per order (Kg)]],0.5)</f>
        <v>0.5</v>
      </c>
      <c r="I124" t="str">
        <f>_xlfn.XLOOKUP(Table1[[#This Row],[OrderID]],'Courier company invoice'!B:B,'Courier company invoice'!F:F)</f>
        <v>d</v>
      </c>
      <c r="J124" s="1" t="str">
        <f>_xlfn.XLOOKUP(Table1[[#This Row],[OrderID]],Table2[Order ID],Table2[Type of Shipment],"Not Found")</f>
        <v>Forward and RTO charges</v>
      </c>
      <c r="K124">
        <f>INDEX(Sheet1[],1,MATCH("fwd_"&amp;Table1[[#This Row],[Zone]]&amp;"_fixed",Sheet1[#Headers],0))</f>
        <v>45.4</v>
      </c>
      <c r="L124">
        <f>INDEX(Sheet1[],1,MATCH("fwd_"&amp;Table1[[#This Row],[Zone]]&amp;"_additional",Sheet1[#Headers],0))</f>
        <v>44.8</v>
      </c>
      <c r="M124" s="1">
        <f>(Table1[[#This Row],[Weight slab]]-0.5)/0.5</f>
        <v>0</v>
      </c>
      <c r="N124" s="1">
        <f>Table1[[#This Row],[Fixed_Charges]]+Table1[[#This Row],[No_of_Extra_slabs]]*Table1[[#This Row],[Additional_Charges]]</f>
        <v>45.4</v>
      </c>
      <c r="O124">
        <f>_xlfn.XLOOKUP(Table1[[#This Row],[OrderID]],'Courier company invoice'!B:B,'Courier company invoice'!H:H)</f>
        <v>258.89999999999998</v>
      </c>
      <c r="P124" s="1">
        <f>Table1[[#This Row],[Billing Amount]]-Table1[[#This Row],[Expected charges]]</f>
        <v>213.49999999999997</v>
      </c>
      <c r="Q124" s="1" t="str" cm="1">
        <f t="array" ref="Q12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25" spans="1:17" x14ac:dyDescent="0.3">
      <c r="A125" s="3" t="s">
        <v>41</v>
      </c>
      <c r="B125" s="2">
        <f>Table1[[#This Row],[Order ID]]*1</f>
        <v>2001811192</v>
      </c>
      <c r="C125" s="2">
        <v>8904223818874</v>
      </c>
      <c r="D125">
        <v>1</v>
      </c>
      <c r="E125">
        <f>_xlfn.XLOOKUP(Table1[[#This Row],[SKU (Product Code)]],'SKU Master'!A:A,'SKU Master'!B:B)</f>
        <v>100</v>
      </c>
      <c r="F125">
        <f>Table1[[#This Row],[Product weight]]*Table1[[#This Row],[Order Qty]]</f>
        <v>100</v>
      </c>
      <c r="G125">
        <f>Table1[[#This Row],[Weight per order (g)]]/1000</f>
        <v>0.1</v>
      </c>
      <c r="H125" s="1">
        <f>CEILING(Table1[[#This Row],[Weight per order (Kg)]],0.5)</f>
        <v>0.5</v>
      </c>
      <c r="I125" t="str">
        <f>_xlfn.XLOOKUP(Table1[[#This Row],[OrderID]],'Courier company invoice'!B:B,'Courier company invoice'!F:F)</f>
        <v>d</v>
      </c>
      <c r="J125" s="1" t="str">
        <f>_xlfn.XLOOKUP(Table1[[#This Row],[OrderID]],Table2[Order ID],Table2[Type of Shipment],"Not Found")</f>
        <v>Forward and RTO charges</v>
      </c>
      <c r="K125">
        <f>INDEX(Sheet1[],1,MATCH("fwd_"&amp;Table1[[#This Row],[Zone]]&amp;"_fixed",Sheet1[#Headers],0))</f>
        <v>45.4</v>
      </c>
      <c r="L125">
        <f>INDEX(Sheet1[],1,MATCH("fwd_"&amp;Table1[[#This Row],[Zone]]&amp;"_additional",Sheet1[#Headers],0))</f>
        <v>44.8</v>
      </c>
      <c r="M125" s="1">
        <f>(Table1[[#This Row],[Weight slab]]-0.5)/0.5</f>
        <v>0</v>
      </c>
      <c r="N125" s="1">
        <f>Table1[[#This Row],[Fixed_Charges]]+Table1[[#This Row],[No_of_Extra_slabs]]*Table1[[#This Row],[Additional_Charges]]</f>
        <v>45.4</v>
      </c>
      <c r="O125">
        <f>_xlfn.XLOOKUP(Table1[[#This Row],[OrderID]],'Courier company invoice'!B:B,'Courier company invoice'!H:H)</f>
        <v>258.89999999999998</v>
      </c>
      <c r="P125" s="1">
        <f>Table1[[#This Row],[Billing Amount]]-Table1[[#This Row],[Expected charges]]</f>
        <v>213.49999999999997</v>
      </c>
      <c r="Q125" s="1" t="str" cm="1">
        <f t="array" ref="Q12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26" spans="1:17" x14ac:dyDescent="0.3">
      <c r="A126" s="3" t="s">
        <v>41</v>
      </c>
      <c r="B126" s="2">
        <f>Table1[[#This Row],[Order ID]]*1</f>
        <v>2001811192</v>
      </c>
      <c r="C126" s="2">
        <v>8904223818881</v>
      </c>
      <c r="D126">
        <v>1</v>
      </c>
      <c r="E126">
        <f>_xlfn.XLOOKUP(Table1[[#This Row],[SKU (Product Code)]],'SKU Master'!A:A,'SKU Master'!B:B)</f>
        <v>140</v>
      </c>
      <c r="F126">
        <f>Table1[[#This Row],[Product weight]]*Table1[[#This Row],[Order Qty]]</f>
        <v>140</v>
      </c>
      <c r="G126">
        <f>Table1[[#This Row],[Weight per order (g)]]/1000</f>
        <v>0.14000000000000001</v>
      </c>
      <c r="H126" s="1">
        <f>CEILING(Table1[[#This Row],[Weight per order (Kg)]],0.5)</f>
        <v>0.5</v>
      </c>
      <c r="I126" t="str">
        <f>_xlfn.XLOOKUP(Table1[[#This Row],[OrderID]],'Courier company invoice'!B:B,'Courier company invoice'!F:F)</f>
        <v>d</v>
      </c>
      <c r="J126" s="1" t="str">
        <f>_xlfn.XLOOKUP(Table1[[#This Row],[OrderID]],Table2[Order ID],Table2[Type of Shipment],"Not Found")</f>
        <v>Forward and RTO charges</v>
      </c>
      <c r="K126">
        <f>INDEX(Sheet1[],1,MATCH("fwd_"&amp;Table1[[#This Row],[Zone]]&amp;"_fixed",Sheet1[#Headers],0))</f>
        <v>45.4</v>
      </c>
      <c r="L126">
        <f>INDEX(Sheet1[],1,MATCH("fwd_"&amp;Table1[[#This Row],[Zone]]&amp;"_additional",Sheet1[#Headers],0))</f>
        <v>44.8</v>
      </c>
      <c r="M126" s="1">
        <f>(Table1[[#This Row],[Weight slab]]-0.5)/0.5</f>
        <v>0</v>
      </c>
      <c r="N126" s="1">
        <f>Table1[[#This Row],[Fixed_Charges]]+Table1[[#This Row],[No_of_Extra_slabs]]*Table1[[#This Row],[Additional_Charges]]</f>
        <v>45.4</v>
      </c>
      <c r="O126">
        <f>_xlfn.XLOOKUP(Table1[[#This Row],[OrderID]],'Courier company invoice'!B:B,'Courier company invoice'!H:H)</f>
        <v>258.89999999999998</v>
      </c>
      <c r="P126" s="1">
        <f>Table1[[#This Row],[Billing Amount]]-Table1[[#This Row],[Expected charges]]</f>
        <v>213.49999999999997</v>
      </c>
      <c r="Q126" s="1" t="str" cm="1">
        <f t="array" ref="Q12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27" spans="1:17" x14ac:dyDescent="0.3">
      <c r="A127" s="3" t="s">
        <v>41</v>
      </c>
      <c r="B127" s="2">
        <f>Table1[[#This Row],[Order ID]]*1</f>
        <v>2001811192</v>
      </c>
      <c r="C127" s="2">
        <v>8904223819291</v>
      </c>
      <c r="D127">
        <v>2</v>
      </c>
      <c r="E127">
        <f>_xlfn.XLOOKUP(Table1[[#This Row],[SKU (Product Code)]],'SKU Master'!A:A,'SKU Master'!B:B)</f>
        <v>112</v>
      </c>
      <c r="F127">
        <f>Table1[[#This Row],[Product weight]]*Table1[[#This Row],[Order Qty]]</f>
        <v>224</v>
      </c>
      <c r="G127">
        <f>Table1[[#This Row],[Weight per order (g)]]/1000</f>
        <v>0.224</v>
      </c>
      <c r="H127" s="1">
        <f>CEILING(Table1[[#This Row],[Weight per order (Kg)]],0.5)</f>
        <v>0.5</v>
      </c>
      <c r="I127" t="str">
        <f>_xlfn.XLOOKUP(Table1[[#This Row],[OrderID]],'Courier company invoice'!B:B,'Courier company invoice'!F:F)</f>
        <v>d</v>
      </c>
      <c r="J127" s="1" t="str">
        <f>_xlfn.XLOOKUP(Table1[[#This Row],[OrderID]],Table2[Order ID],Table2[Type of Shipment],"Not Found")</f>
        <v>Forward and RTO charges</v>
      </c>
      <c r="K127">
        <f>INDEX(Sheet1[],1,MATCH("fwd_"&amp;Table1[[#This Row],[Zone]]&amp;"_fixed",Sheet1[#Headers],0))</f>
        <v>45.4</v>
      </c>
      <c r="L127">
        <f>INDEX(Sheet1[],1,MATCH("fwd_"&amp;Table1[[#This Row],[Zone]]&amp;"_additional",Sheet1[#Headers],0))</f>
        <v>44.8</v>
      </c>
      <c r="M127" s="1">
        <f>(Table1[[#This Row],[Weight slab]]-0.5)/0.5</f>
        <v>0</v>
      </c>
      <c r="N127" s="1">
        <f>Table1[[#This Row],[Fixed_Charges]]+Table1[[#This Row],[No_of_Extra_slabs]]*Table1[[#This Row],[Additional_Charges]]</f>
        <v>45.4</v>
      </c>
      <c r="O127">
        <f>_xlfn.XLOOKUP(Table1[[#This Row],[OrderID]],'Courier company invoice'!B:B,'Courier company invoice'!H:H)</f>
        <v>258.89999999999998</v>
      </c>
      <c r="P127" s="1">
        <f>Table1[[#This Row],[Billing Amount]]-Table1[[#This Row],[Expected charges]]</f>
        <v>213.49999999999997</v>
      </c>
      <c r="Q127" s="1" t="str" cm="1">
        <f t="array" ref="Q12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28" spans="1:17" x14ac:dyDescent="0.3">
      <c r="A128" s="3" t="s">
        <v>41</v>
      </c>
      <c r="B128" s="2">
        <f>Table1[[#This Row],[Order ID]]*1</f>
        <v>2001811192</v>
      </c>
      <c r="C128" s="2">
        <v>8904223819031</v>
      </c>
      <c r="D128">
        <v>2</v>
      </c>
      <c r="E128">
        <f>_xlfn.XLOOKUP(Table1[[#This Row],[SKU (Product Code)]],'SKU Master'!A:A,'SKU Master'!B:B)</f>
        <v>112</v>
      </c>
      <c r="F128">
        <f>Table1[[#This Row],[Product weight]]*Table1[[#This Row],[Order Qty]]</f>
        <v>224</v>
      </c>
      <c r="G128">
        <f>Table1[[#This Row],[Weight per order (g)]]/1000</f>
        <v>0.224</v>
      </c>
      <c r="H128" s="1">
        <f>CEILING(Table1[[#This Row],[Weight per order (Kg)]],0.5)</f>
        <v>0.5</v>
      </c>
      <c r="I128" t="str">
        <f>_xlfn.XLOOKUP(Table1[[#This Row],[OrderID]],'Courier company invoice'!B:B,'Courier company invoice'!F:F)</f>
        <v>d</v>
      </c>
      <c r="J128" s="1" t="str">
        <f>_xlfn.XLOOKUP(Table1[[#This Row],[OrderID]],Table2[Order ID],Table2[Type of Shipment],"Not Found")</f>
        <v>Forward and RTO charges</v>
      </c>
      <c r="K128">
        <f>INDEX(Sheet1[],1,MATCH("fwd_"&amp;Table1[[#This Row],[Zone]]&amp;"_fixed",Sheet1[#Headers],0))</f>
        <v>45.4</v>
      </c>
      <c r="L128">
        <f>INDEX(Sheet1[],1,MATCH("fwd_"&amp;Table1[[#This Row],[Zone]]&amp;"_additional",Sheet1[#Headers],0))</f>
        <v>44.8</v>
      </c>
      <c r="M128" s="1">
        <f>(Table1[[#This Row],[Weight slab]]-0.5)/0.5</f>
        <v>0</v>
      </c>
      <c r="N128" s="1">
        <f>Table1[[#This Row],[Fixed_Charges]]+Table1[[#This Row],[No_of_Extra_slabs]]*Table1[[#This Row],[Additional_Charges]]</f>
        <v>45.4</v>
      </c>
      <c r="O128">
        <f>_xlfn.XLOOKUP(Table1[[#This Row],[OrderID]],'Courier company invoice'!B:B,'Courier company invoice'!H:H)</f>
        <v>258.89999999999998</v>
      </c>
      <c r="P128" s="1">
        <f>Table1[[#This Row],[Billing Amount]]-Table1[[#This Row],[Expected charges]]</f>
        <v>213.49999999999997</v>
      </c>
      <c r="Q128" s="1" t="str" cm="1">
        <f t="array" ref="Q12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29" spans="1:17" x14ac:dyDescent="0.3">
      <c r="A129" s="3" t="s">
        <v>41</v>
      </c>
      <c r="B129" s="2">
        <f>Table1[[#This Row],[Order ID]]*1</f>
        <v>2001811192</v>
      </c>
      <c r="C129" s="2">
        <v>8904223819024</v>
      </c>
      <c r="D129">
        <v>2</v>
      </c>
      <c r="E129">
        <f>_xlfn.XLOOKUP(Table1[[#This Row],[SKU (Product Code)]],'SKU Master'!A:A,'SKU Master'!B:B)</f>
        <v>112</v>
      </c>
      <c r="F129">
        <f>Table1[[#This Row],[Product weight]]*Table1[[#This Row],[Order Qty]]</f>
        <v>224</v>
      </c>
      <c r="G129">
        <f>Table1[[#This Row],[Weight per order (g)]]/1000</f>
        <v>0.224</v>
      </c>
      <c r="H129" s="1">
        <f>CEILING(Table1[[#This Row],[Weight per order (Kg)]],0.5)</f>
        <v>0.5</v>
      </c>
      <c r="I129" t="str">
        <f>_xlfn.XLOOKUP(Table1[[#This Row],[OrderID]],'Courier company invoice'!B:B,'Courier company invoice'!F:F)</f>
        <v>d</v>
      </c>
      <c r="J129" s="1" t="str">
        <f>_xlfn.XLOOKUP(Table1[[#This Row],[OrderID]],Table2[Order ID],Table2[Type of Shipment],"Not Found")</f>
        <v>Forward and RTO charges</v>
      </c>
      <c r="K129">
        <f>INDEX(Sheet1[],1,MATCH("fwd_"&amp;Table1[[#This Row],[Zone]]&amp;"_fixed",Sheet1[#Headers],0))</f>
        <v>45.4</v>
      </c>
      <c r="L129">
        <f>INDEX(Sheet1[],1,MATCH("fwd_"&amp;Table1[[#This Row],[Zone]]&amp;"_additional",Sheet1[#Headers],0))</f>
        <v>44.8</v>
      </c>
      <c r="M129" s="1">
        <f>(Table1[[#This Row],[Weight slab]]-0.5)/0.5</f>
        <v>0</v>
      </c>
      <c r="N129" s="1">
        <f>Table1[[#This Row],[Fixed_Charges]]+Table1[[#This Row],[No_of_Extra_slabs]]*Table1[[#This Row],[Additional_Charges]]</f>
        <v>45.4</v>
      </c>
      <c r="O129">
        <f>_xlfn.XLOOKUP(Table1[[#This Row],[OrderID]],'Courier company invoice'!B:B,'Courier company invoice'!H:H)</f>
        <v>258.89999999999998</v>
      </c>
      <c r="P129" s="1">
        <f>Table1[[#This Row],[Billing Amount]]-Table1[[#This Row],[Expected charges]]</f>
        <v>213.49999999999997</v>
      </c>
      <c r="Q129" s="1" t="str" cm="1">
        <f t="array" ref="Q12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30" spans="1:17" x14ac:dyDescent="0.3">
      <c r="A130" s="3" t="s">
        <v>42</v>
      </c>
      <c r="B130" s="2">
        <f>Table1[[#This Row],[Order ID]]*1</f>
        <v>2001811153</v>
      </c>
      <c r="C130" s="2">
        <v>8904223818706</v>
      </c>
      <c r="D130">
        <v>1</v>
      </c>
      <c r="E130">
        <f>_xlfn.XLOOKUP(Table1[[#This Row],[SKU (Product Code)]],'SKU Master'!A:A,'SKU Master'!B:B)</f>
        <v>127</v>
      </c>
      <c r="F130">
        <f>Table1[[#This Row],[Product weight]]*Table1[[#This Row],[Order Qty]]</f>
        <v>127</v>
      </c>
      <c r="G130">
        <f>Table1[[#This Row],[Weight per order (g)]]/1000</f>
        <v>0.127</v>
      </c>
      <c r="H130" s="1">
        <f>CEILING(Table1[[#This Row],[Weight per order (Kg)]],0.5)</f>
        <v>0.5</v>
      </c>
      <c r="I130" t="str">
        <f>_xlfn.XLOOKUP(Table1[[#This Row],[OrderID]],'Courier company invoice'!B:B,'Courier company invoice'!F:F)</f>
        <v>d</v>
      </c>
      <c r="J130" s="1" t="str">
        <f>_xlfn.XLOOKUP(Table1[[#This Row],[OrderID]],Table2[Order ID],Table2[Type of Shipment],"Not Found")</f>
        <v>Forward charges</v>
      </c>
      <c r="K130">
        <f>INDEX(Sheet1[],1,MATCH("fwd_"&amp;Table1[[#This Row],[Zone]]&amp;"_fixed",Sheet1[#Headers],0))</f>
        <v>45.4</v>
      </c>
      <c r="L130">
        <f>INDEX(Sheet1[],1,MATCH("fwd_"&amp;Table1[[#This Row],[Zone]]&amp;"_additional",Sheet1[#Headers],0))</f>
        <v>44.8</v>
      </c>
      <c r="M130" s="1">
        <f>(Table1[[#This Row],[Weight slab]]-0.5)/0.5</f>
        <v>0</v>
      </c>
      <c r="N130" s="1">
        <f>Table1[[#This Row],[Fixed_Charges]]+Table1[[#This Row],[No_of_Extra_slabs]]*Table1[[#This Row],[Additional_Charges]]</f>
        <v>45.4</v>
      </c>
      <c r="O130">
        <f>_xlfn.XLOOKUP(Table1[[#This Row],[OrderID]],'Courier company invoice'!B:B,'Courier company invoice'!H:H)</f>
        <v>90.2</v>
      </c>
      <c r="P130" s="1">
        <f>Table1[[#This Row],[Billing Amount]]-Table1[[#This Row],[Expected charges]]</f>
        <v>44.800000000000004</v>
      </c>
      <c r="Q130" s="1" t="str" cm="1">
        <f t="array" ref="Q13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31" spans="1:17" x14ac:dyDescent="0.3">
      <c r="A131" s="3" t="s">
        <v>42</v>
      </c>
      <c r="B131" s="2">
        <f>Table1[[#This Row],[Order ID]]*1</f>
        <v>2001811153</v>
      </c>
      <c r="C131" s="2">
        <v>8904223818850</v>
      </c>
      <c r="D131">
        <v>1</v>
      </c>
      <c r="E131">
        <f>_xlfn.XLOOKUP(Table1[[#This Row],[SKU (Product Code)]],'SKU Master'!A:A,'SKU Master'!B:B)</f>
        <v>240</v>
      </c>
      <c r="F131">
        <f>Table1[[#This Row],[Product weight]]*Table1[[#This Row],[Order Qty]]</f>
        <v>240</v>
      </c>
      <c r="G131">
        <f>Table1[[#This Row],[Weight per order (g)]]/1000</f>
        <v>0.24</v>
      </c>
      <c r="H131" s="1">
        <f>CEILING(Table1[[#This Row],[Weight per order (Kg)]],0.5)</f>
        <v>0.5</v>
      </c>
      <c r="I131" t="str">
        <f>_xlfn.XLOOKUP(Table1[[#This Row],[OrderID]],'Courier company invoice'!B:B,'Courier company invoice'!F:F)</f>
        <v>d</v>
      </c>
      <c r="J131" s="1" t="str">
        <f>_xlfn.XLOOKUP(Table1[[#This Row],[OrderID]],Table2[Order ID],Table2[Type of Shipment],"Not Found")</f>
        <v>Forward charges</v>
      </c>
      <c r="K131">
        <f>INDEX(Sheet1[],1,MATCH("fwd_"&amp;Table1[[#This Row],[Zone]]&amp;"_fixed",Sheet1[#Headers],0))</f>
        <v>45.4</v>
      </c>
      <c r="L131">
        <f>INDEX(Sheet1[],1,MATCH("fwd_"&amp;Table1[[#This Row],[Zone]]&amp;"_additional",Sheet1[#Headers],0))</f>
        <v>44.8</v>
      </c>
      <c r="M131" s="1">
        <f>(Table1[[#This Row],[Weight slab]]-0.5)/0.5</f>
        <v>0</v>
      </c>
      <c r="N131" s="1">
        <f>Table1[[#This Row],[Fixed_Charges]]+Table1[[#This Row],[No_of_Extra_slabs]]*Table1[[#This Row],[Additional_Charges]]</f>
        <v>45.4</v>
      </c>
      <c r="O131">
        <f>_xlfn.XLOOKUP(Table1[[#This Row],[OrderID]],'Courier company invoice'!B:B,'Courier company invoice'!H:H)</f>
        <v>90.2</v>
      </c>
      <c r="P131" s="1">
        <f>Table1[[#This Row],[Billing Amount]]-Table1[[#This Row],[Expected charges]]</f>
        <v>44.800000000000004</v>
      </c>
      <c r="Q131" s="1" t="str" cm="1">
        <f t="array" ref="Q13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32" spans="1:17" x14ac:dyDescent="0.3">
      <c r="A132" s="3" t="s">
        <v>42</v>
      </c>
      <c r="B132" s="2">
        <f>Table1[[#This Row],[Order ID]]*1</f>
        <v>2001811153</v>
      </c>
      <c r="C132" s="2">
        <v>8904223819468</v>
      </c>
      <c r="D132">
        <v>1</v>
      </c>
      <c r="E132">
        <f>_xlfn.XLOOKUP(Table1[[#This Row],[SKU (Product Code)]],'SKU Master'!A:A,'SKU Master'!B:B)</f>
        <v>240</v>
      </c>
      <c r="F132">
        <f>Table1[[#This Row],[Product weight]]*Table1[[#This Row],[Order Qty]]</f>
        <v>240</v>
      </c>
      <c r="G132">
        <f>Table1[[#This Row],[Weight per order (g)]]/1000</f>
        <v>0.24</v>
      </c>
      <c r="H132" s="1">
        <f>CEILING(Table1[[#This Row],[Weight per order (Kg)]],0.5)</f>
        <v>0.5</v>
      </c>
      <c r="I132" t="str">
        <f>_xlfn.XLOOKUP(Table1[[#This Row],[OrderID]],'Courier company invoice'!B:B,'Courier company invoice'!F:F)</f>
        <v>d</v>
      </c>
      <c r="J132" s="1" t="str">
        <f>_xlfn.XLOOKUP(Table1[[#This Row],[OrderID]],Table2[Order ID],Table2[Type of Shipment],"Not Found")</f>
        <v>Forward charges</v>
      </c>
      <c r="K132">
        <f>INDEX(Sheet1[],1,MATCH("fwd_"&amp;Table1[[#This Row],[Zone]]&amp;"_fixed",Sheet1[#Headers],0))</f>
        <v>45.4</v>
      </c>
      <c r="L132">
        <f>INDEX(Sheet1[],1,MATCH("fwd_"&amp;Table1[[#This Row],[Zone]]&amp;"_additional",Sheet1[#Headers],0))</f>
        <v>44.8</v>
      </c>
      <c r="M132" s="1">
        <f>(Table1[[#This Row],[Weight slab]]-0.5)/0.5</f>
        <v>0</v>
      </c>
      <c r="N132" s="1">
        <f>Table1[[#This Row],[Fixed_Charges]]+Table1[[#This Row],[No_of_Extra_slabs]]*Table1[[#This Row],[Additional_Charges]]</f>
        <v>45.4</v>
      </c>
      <c r="O132">
        <f>_xlfn.XLOOKUP(Table1[[#This Row],[OrderID]],'Courier company invoice'!B:B,'Courier company invoice'!H:H)</f>
        <v>90.2</v>
      </c>
      <c r="P132" s="1">
        <f>Table1[[#This Row],[Billing Amount]]-Table1[[#This Row],[Expected charges]]</f>
        <v>44.800000000000004</v>
      </c>
      <c r="Q132" s="1" t="str" cm="1">
        <f t="array" ref="Q13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33" spans="1:17" x14ac:dyDescent="0.3">
      <c r="A133" s="3" t="s">
        <v>43</v>
      </c>
      <c r="B133" s="2">
        <f>Table1[[#This Row],[Order ID]]*1</f>
        <v>2001811058</v>
      </c>
      <c r="C133" s="2">
        <v>8904223818706</v>
      </c>
      <c r="D133">
        <v>1</v>
      </c>
      <c r="E133">
        <f>_xlfn.XLOOKUP(Table1[[#This Row],[SKU (Product Code)]],'SKU Master'!A:A,'SKU Master'!B:B)</f>
        <v>127</v>
      </c>
      <c r="F133">
        <f>Table1[[#This Row],[Product weight]]*Table1[[#This Row],[Order Qty]]</f>
        <v>127</v>
      </c>
      <c r="G133">
        <f>Table1[[#This Row],[Weight per order (g)]]/1000</f>
        <v>0.127</v>
      </c>
      <c r="H133" s="1">
        <f>CEILING(Table1[[#This Row],[Weight per order (Kg)]],0.5)</f>
        <v>0.5</v>
      </c>
      <c r="I133" t="str">
        <f>_xlfn.XLOOKUP(Table1[[#This Row],[OrderID]],'Courier company invoice'!B:B,'Courier company invoice'!F:F)</f>
        <v>d</v>
      </c>
      <c r="J133" s="1" t="str">
        <f>_xlfn.XLOOKUP(Table1[[#This Row],[OrderID]],Table2[Order ID],Table2[Type of Shipment],"Not Found")</f>
        <v>Forward charges</v>
      </c>
      <c r="K133">
        <f>INDEX(Sheet1[],1,MATCH("fwd_"&amp;Table1[[#This Row],[Zone]]&amp;"_fixed",Sheet1[#Headers],0))</f>
        <v>45.4</v>
      </c>
      <c r="L133">
        <f>INDEX(Sheet1[],1,MATCH("fwd_"&amp;Table1[[#This Row],[Zone]]&amp;"_additional",Sheet1[#Headers],0))</f>
        <v>44.8</v>
      </c>
      <c r="M133" s="1">
        <f>(Table1[[#This Row],[Weight slab]]-0.5)/0.5</f>
        <v>0</v>
      </c>
      <c r="N133" s="1">
        <f>Table1[[#This Row],[Fixed_Charges]]+Table1[[#This Row],[No_of_Extra_slabs]]*Table1[[#This Row],[Additional_Charges]]</f>
        <v>45.4</v>
      </c>
      <c r="O133">
        <f>_xlfn.XLOOKUP(Table1[[#This Row],[OrderID]],'Courier company invoice'!B:B,'Courier company invoice'!H:H)</f>
        <v>90.2</v>
      </c>
      <c r="P133" s="1">
        <f>Table1[[#This Row],[Billing Amount]]-Table1[[#This Row],[Expected charges]]</f>
        <v>44.800000000000004</v>
      </c>
      <c r="Q133" s="1" t="str" cm="1">
        <f t="array" ref="Q13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34" spans="1:17" x14ac:dyDescent="0.3">
      <c r="A134" s="3" t="s">
        <v>43</v>
      </c>
      <c r="B134" s="2">
        <f>Table1[[#This Row],[Order ID]]*1</f>
        <v>2001811058</v>
      </c>
      <c r="C134" s="2">
        <v>8904223818942</v>
      </c>
      <c r="D134">
        <v>1</v>
      </c>
      <c r="E134">
        <f>_xlfn.XLOOKUP(Table1[[#This Row],[SKU (Product Code)]],'SKU Master'!A:A,'SKU Master'!B:B)</f>
        <v>133</v>
      </c>
      <c r="F134">
        <f>Table1[[#This Row],[Product weight]]*Table1[[#This Row],[Order Qty]]</f>
        <v>133</v>
      </c>
      <c r="G134">
        <f>Table1[[#This Row],[Weight per order (g)]]/1000</f>
        <v>0.13300000000000001</v>
      </c>
      <c r="H134" s="1">
        <f>CEILING(Table1[[#This Row],[Weight per order (Kg)]],0.5)</f>
        <v>0.5</v>
      </c>
      <c r="I134" t="str">
        <f>_xlfn.XLOOKUP(Table1[[#This Row],[OrderID]],'Courier company invoice'!B:B,'Courier company invoice'!F:F)</f>
        <v>d</v>
      </c>
      <c r="J134" s="1" t="str">
        <f>_xlfn.XLOOKUP(Table1[[#This Row],[OrderID]],Table2[Order ID],Table2[Type of Shipment],"Not Found")</f>
        <v>Forward charges</v>
      </c>
      <c r="K134">
        <f>INDEX(Sheet1[],1,MATCH("fwd_"&amp;Table1[[#This Row],[Zone]]&amp;"_fixed",Sheet1[#Headers],0))</f>
        <v>45.4</v>
      </c>
      <c r="L134">
        <f>INDEX(Sheet1[],1,MATCH("fwd_"&amp;Table1[[#This Row],[Zone]]&amp;"_additional",Sheet1[#Headers],0))</f>
        <v>44.8</v>
      </c>
      <c r="M134" s="1">
        <f>(Table1[[#This Row],[Weight slab]]-0.5)/0.5</f>
        <v>0</v>
      </c>
      <c r="N134" s="1">
        <f>Table1[[#This Row],[Fixed_Charges]]+Table1[[#This Row],[No_of_Extra_slabs]]*Table1[[#This Row],[Additional_Charges]]</f>
        <v>45.4</v>
      </c>
      <c r="O134">
        <f>_xlfn.XLOOKUP(Table1[[#This Row],[OrderID]],'Courier company invoice'!B:B,'Courier company invoice'!H:H)</f>
        <v>90.2</v>
      </c>
      <c r="P134" s="1">
        <f>Table1[[#This Row],[Billing Amount]]-Table1[[#This Row],[Expected charges]]</f>
        <v>44.800000000000004</v>
      </c>
      <c r="Q134" s="1" t="str" cm="1">
        <f t="array" ref="Q13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35" spans="1:17" x14ac:dyDescent="0.3">
      <c r="A135" s="3" t="s">
        <v>43</v>
      </c>
      <c r="B135" s="2">
        <f>Table1[[#This Row],[Order ID]]*1</f>
        <v>2001811058</v>
      </c>
      <c r="C135" s="2">
        <v>8904223818850</v>
      </c>
      <c r="D135">
        <v>1</v>
      </c>
      <c r="E135">
        <f>_xlfn.XLOOKUP(Table1[[#This Row],[SKU (Product Code)]],'SKU Master'!A:A,'SKU Master'!B:B)</f>
        <v>240</v>
      </c>
      <c r="F135">
        <f>Table1[[#This Row],[Product weight]]*Table1[[#This Row],[Order Qty]]</f>
        <v>240</v>
      </c>
      <c r="G135">
        <f>Table1[[#This Row],[Weight per order (g)]]/1000</f>
        <v>0.24</v>
      </c>
      <c r="H135" s="1">
        <f>CEILING(Table1[[#This Row],[Weight per order (Kg)]],0.5)</f>
        <v>0.5</v>
      </c>
      <c r="I135" t="str">
        <f>_xlfn.XLOOKUP(Table1[[#This Row],[OrderID]],'Courier company invoice'!B:B,'Courier company invoice'!F:F)</f>
        <v>d</v>
      </c>
      <c r="J135" s="1" t="str">
        <f>_xlfn.XLOOKUP(Table1[[#This Row],[OrderID]],Table2[Order ID],Table2[Type of Shipment],"Not Found")</f>
        <v>Forward charges</v>
      </c>
      <c r="K135">
        <f>INDEX(Sheet1[],1,MATCH("fwd_"&amp;Table1[[#This Row],[Zone]]&amp;"_fixed",Sheet1[#Headers],0))</f>
        <v>45.4</v>
      </c>
      <c r="L135">
        <f>INDEX(Sheet1[],1,MATCH("fwd_"&amp;Table1[[#This Row],[Zone]]&amp;"_additional",Sheet1[#Headers],0))</f>
        <v>44.8</v>
      </c>
      <c r="M135" s="1">
        <f>(Table1[[#This Row],[Weight slab]]-0.5)/0.5</f>
        <v>0</v>
      </c>
      <c r="N135" s="1">
        <f>Table1[[#This Row],[Fixed_Charges]]+Table1[[#This Row],[No_of_Extra_slabs]]*Table1[[#This Row],[Additional_Charges]]</f>
        <v>45.4</v>
      </c>
      <c r="O135">
        <f>_xlfn.XLOOKUP(Table1[[#This Row],[OrderID]],'Courier company invoice'!B:B,'Courier company invoice'!H:H)</f>
        <v>90.2</v>
      </c>
      <c r="P135" s="1">
        <f>Table1[[#This Row],[Billing Amount]]-Table1[[#This Row],[Expected charges]]</f>
        <v>44.800000000000004</v>
      </c>
      <c r="Q135" s="1" t="str" cm="1">
        <f t="array" ref="Q13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36" spans="1:17" x14ac:dyDescent="0.3">
      <c r="A136" s="3" t="s">
        <v>44</v>
      </c>
      <c r="B136" s="2">
        <f>Table1[[#This Row],[Order ID]]*1</f>
        <v>2001811039</v>
      </c>
      <c r="C136" s="2">
        <v>8904223818706</v>
      </c>
      <c r="D136">
        <v>1</v>
      </c>
      <c r="E136">
        <f>_xlfn.XLOOKUP(Table1[[#This Row],[SKU (Product Code)]],'SKU Master'!A:A,'SKU Master'!B:B)</f>
        <v>127</v>
      </c>
      <c r="F136">
        <f>Table1[[#This Row],[Product weight]]*Table1[[#This Row],[Order Qty]]</f>
        <v>127</v>
      </c>
      <c r="G136">
        <f>Table1[[#This Row],[Weight per order (g)]]/1000</f>
        <v>0.127</v>
      </c>
      <c r="H136" s="1">
        <f>CEILING(Table1[[#This Row],[Weight per order (Kg)]],0.5)</f>
        <v>0.5</v>
      </c>
      <c r="I136" t="str">
        <f>_xlfn.XLOOKUP(Table1[[#This Row],[OrderID]],'Courier company invoice'!B:B,'Courier company invoice'!F:F)</f>
        <v>d</v>
      </c>
      <c r="J136" s="1" t="str">
        <f>_xlfn.XLOOKUP(Table1[[#This Row],[OrderID]],Table2[Order ID],Table2[Type of Shipment],"Not Found")</f>
        <v>Forward charges</v>
      </c>
      <c r="K136">
        <f>INDEX(Sheet1[],1,MATCH("fwd_"&amp;Table1[[#This Row],[Zone]]&amp;"_fixed",Sheet1[#Headers],0))</f>
        <v>45.4</v>
      </c>
      <c r="L136">
        <f>INDEX(Sheet1[],1,MATCH("fwd_"&amp;Table1[[#This Row],[Zone]]&amp;"_additional",Sheet1[#Headers],0))</f>
        <v>44.8</v>
      </c>
      <c r="M136" s="1">
        <f>(Table1[[#This Row],[Weight slab]]-0.5)/0.5</f>
        <v>0</v>
      </c>
      <c r="N136" s="1">
        <f>Table1[[#This Row],[Fixed_Charges]]+Table1[[#This Row],[No_of_Extra_slabs]]*Table1[[#This Row],[Additional_Charges]]</f>
        <v>45.4</v>
      </c>
      <c r="O136">
        <f>_xlfn.XLOOKUP(Table1[[#This Row],[OrderID]],'Courier company invoice'!B:B,'Courier company invoice'!H:H)</f>
        <v>90.2</v>
      </c>
      <c r="P136" s="1">
        <f>Table1[[#This Row],[Billing Amount]]-Table1[[#This Row],[Expected charges]]</f>
        <v>44.800000000000004</v>
      </c>
      <c r="Q136" s="1" t="str" cm="1">
        <f t="array" ref="Q13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37" spans="1:17" x14ac:dyDescent="0.3">
      <c r="A137" s="3" t="s">
        <v>44</v>
      </c>
      <c r="B137" s="2">
        <f>Table1[[#This Row],[Order ID]]*1</f>
        <v>2001811039</v>
      </c>
      <c r="C137" s="2">
        <v>8904223818683</v>
      </c>
      <c r="D137">
        <v>1</v>
      </c>
      <c r="E137">
        <f>_xlfn.XLOOKUP(Table1[[#This Row],[SKU (Product Code)]],'SKU Master'!A:A,'SKU Master'!B:B)</f>
        <v>121</v>
      </c>
      <c r="F137">
        <f>Table1[[#This Row],[Product weight]]*Table1[[#This Row],[Order Qty]]</f>
        <v>121</v>
      </c>
      <c r="G137">
        <f>Table1[[#This Row],[Weight per order (g)]]/1000</f>
        <v>0.121</v>
      </c>
      <c r="H137" s="1">
        <f>CEILING(Table1[[#This Row],[Weight per order (Kg)]],0.5)</f>
        <v>0.5</v>
      </c>
      <c r="I137" t="str">
        <f>_xlfn.XLOOKUP(Table1[[#This Row],[OrderID]],'Courier company invoice'!B:B,'Courier company invoice'!F:F)</f>
        <v>d</v>
      </c>
      <c r="J137" s="1" t="str">
        <f>_xlfn.XLOOKUP(Table1[[#This Row],[OrderID]],Table2[Order ID],Table2[Type of Shipment],"Not Found")</f>
        <v>Forward charges</v>
      </c>
      <c r="K137">
        <f>INDEX(Sheet1[],1,MATCH("fwd_"&amp;Table1[[#This Row],[Zone]]&amp;"_fixed",Sheet1[#Headers],0))</f>
        <v>45.4</v>
      </c>
      <c r="L137">
        <f>INDEX(Sheet1[],1,MATCH("fwd_"&amp;Table1[[#This Row],[Zone]]&amp;"_additional",Sheet1[#Headers],0))</f>
        <v>44.8</v>
      </c>
      <c r="M137" s="1">
        <f>(Table1[[#This Row],[Weight slab]]-0.5)/0.5</f>
        <v>0</v>
      </c>
      <c r="N137" s="1">
        <f>Table1[[#This Row],[Fixed_Charges]]+Table1[[#This Row],[No_of_Extra_slabs]]*Table1[[#This Row],[Additional_Charges]]</f>
        <v>45.4</v>
      </c>
      <c r="O137">
        <f>_xlfn.XLOOKUP(Table1[[#This Row],[OrderID]],'Courier company invoice'!B:B,'Courier company invoice'!H:H)</f>
        <v>90.2</v>
      </c>
      <c r="P137" s="1">
        <f>Table1[[#This Row],[Billing Amount]]-Table1[[#This Row],[Expected charges]]</f>
        <v>44.800000000000004</v>
      </c>
      <c r="Q137" s="1" t="str" cm="1">
        <f t="array" ref="Q13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38" spans="1:17" x14ac:dyDescent="0.3">
      <c r="A138" s="3" t="s">
        <v>44</v>
      </c>
      <c r="B138" s="2">
        <f>Table1[[#This Row],[Order ID]]*1</f>
        <v>2001811039</v>
      </c>
      <c r="C138" s="2">
        <v>8904223818850</v>
      </c>
      <c r="D138">
        <v>1</v>
      </c>
      <c r="E138">
        <f>_xlfn.XLOOKUP(Table1[[#This Row],[SKU (Product Code)]],'SKU Master'!A:A,'SKU Master'!B:B)</f>
        <v>240</v>
      </c>
      <c r="F138">
        <f>Table1[[#This Row],[Product weight]]*Table1[[#This Row],[Order Qty]]</f>
        <v>240</v>
      </c>
      <c r="G138">
        <f>Table1[[#This Row],[Weight per order (g)]]/1000</f>
        <v>0.24</v>
      </c>
      <c r="H138" s="1">
        <f>CEILING(Table1[[#This Row],[Weight per order (Kg)]],0.5)</f>
        <v>0.5</v>
      </c>
      <c r="I138" t="str">
        <f>_xlfn.XLOOKUP(Table1[[#This Row],[OrderID]],'Courier company invoice'!B:B,'Courier company invoice'!F:F)</f>
        <v>d</v>
      </c>
      <c r="J138" s="1" t="str">
        <f>_xlfn.XLOOKUP(Table1[[#This Row],[OrderID]],Table2[Order ID],Table2[Type of Shipment],"Not Found")</f>
        <v>Forward charges</v>
      </c>
      <c r="K138">
        <f>INDEX(Sheet1[],1,MATCH("fwd_"&amp;Table1[[#This Row],[Zone]]&amp;"_fixed",Sheet1[#Headers],0))</f>
        <v>45.4</v>
      </c>
      <c r="L138">
        <f>INDEX(Sheet1[],1,MATCH("fwd_"&amp;Table1[[#This Row],[Zone]]&amp;"_additional",Sheet1[#Headers],0))</f>
        <v>44.8</v>
      </c>
      <c r="M138" s="1">
        <f>(Table1[[#This Row],[Weight slab]]-0.5)/0.5</f>
        <v>0</v>
      </c>
      <c r="N138" s="1">
        <f>Table1[[#This Row],[Fixed_Charges]]+Table1[[#This Row],[No_of_Extra_slabs]]*Table1[[#This Row],[Additional_Charges]]</f>
        <v>45.4</v>
      </c>
      <c r="O138">
        <f>_xlfn.XLOOKUP(Table1[[#This Row],[OrderID]],'Courier company invoice'!B:B,'Courier company invoice'!H:H)</f>
        <v>90.2</v>
      </c>
      <c r="P138" s="1">
        <f>Table1[[#This Row],[Billing Amount]]-Table1[[#This Row],[Expected charges]]</f>
        <v>44.800000000000004</v>
      </c>
      <c r="Q138" s="1" t="str" cm="1">
        <f t="array" ref="Q13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39" spans="1:17" x14ac:dyDescent="0.3">
      <c r="A139" s="3" t="s">
        <v>45</v>
      </c>
      <c r="B139" s="2">
        <f>Table1[[#This Row],[Order ID]]*1</f>
        <v>2001810697</v>
      </c>
      <c r="C139" s="2">
        <v>8904223818706</v>
      </c>
      <c r="D139">
        <v>1</v>
      </c>
      <c r="E139">
        <f>_xlfn.XLOOKUP(Table1[[#This Row],[SKU (Product Code)]],'SKU Master'!A:A,'SKU Master'!B:B)</f>
        <v>127</v>
      </c>
      <c r="F139">
        <f>Table1[[#This Row],[Product weight]]*Table1[[#This Row],[Order Qty]]</f>
        <v>127</v>
      </c>
      <c r="G139">
        <f>Table1[[#This Row],[Weight per order (g)]]/1000</f>
        <v>0.127</v>
      </c>
      <c r="H139" s="1">
        <f>CEILING(Table1[[#This Row],[Weight per order (Kg)]],0.5)</f>
        <v>0.5</v>
      </c>
      <c r="I139" t="str">
        <f>_xlfn.XLOOKUP(Table1[[#This Row],[OrderID]],'Courier company invoice'!B:B,'Courier company invoice'!F:F)</f>
        <v>d</v>
      </c>
      <c r="J139" s="1" t="str">
        <f>_xlfn.XLOOKUP(Table1[[#This Row],[OrderID]],Table2[Order ID],Table2[Type of Shipment],"Not Found")</f>
        <v>Forward charges</v>
      </c>
      <c r="K139">
        <f>INDEX(Sheet1[],1,MATCH("fwd_"&amp;Table1[[#This Row],[Zone]]&amp;"_fixed",Sheet1[#Headers],0))</f>
        <v>45.4</v>
      </c>
      <c r="L139">
        <f>INDEX(Sheet1[],1,MATCH("fwd_"&amp;Table1[[#This Row],[Zone]]&amp;"_additional",Sheet1[#Headers],0))</f>
        <v>44.8</v>
      </c>
      <c r="M139" s="1">
        <f>(Table1[[#This Row],[Weight slab]]-0.5)/0.5</f>
        <v>0</v>
      </c>
      <c r="N139" s="1">
        <f>Table1[[#This Row],[Fixed_Charges]]+Table1[[#This Row],[No_of_Extra_slabs]]*Table1[[#This Row],[Additional_Charges]]</f>
        <v>45.4</v>
      </c>
      <c r="O139">
        <f>_xlfn.XLOOKUP(Table1[[#This Row],[OrderID]],'Courier company invoice'!B:B,'Courier company invoice'!H:H)</f>
        <v>224.6</v>
      </c>
      <c r="P139" s="1">
        <f>Table1[[#This Row],[Billing Amount]]-Table1[[#This Row],[Expected charges]]</f>
        <v>179.2</v>
      </c>
      <c r="Q139" s="1" t="str" cm="1">
        <f t="array" ref="Q13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40" spans="1:17" x14ac:dyDescent="0.3">
      <c r="A140" s="3" t="s">
        <v>45</v>
      </c>
      <c r="B140" s="2">
        <f>Table1[[#This Row],[Order ID]]*1</f>
        <v>2001810697</v>
      </c>
      <c r="C140" s="2">
        <v>8904223818850</v>
      </c>
      <c r="D140">
        <v>1</v>
      </c>
      <c r="E140">
        <f>_xlfn.XLOOKUP(Table1[[#This Row],[SKU (Product Code)]],'SKU Master'!A:A,'SKU Master'!B:B)</f>
        <v>240</v>
      </c>
      <c r="F140">
        <f>Table1[[#This Row],[Product weight]]*Table1[[#This Row],[Order Qty]]</f>
        <v>240</v>
      </c>
      <c r="G140">
        <f>Table1[[#This Row],[Weight per order (g)]]/1000</f>
        <v>0.24</v>
      </c>
      <c r="H140" s="1">
        <f>CEILING(Table1[[#This Row],[Weight per order (Kg)]],0.5)</f>
        <v>0.5</v>
      </c>
      <c r="I140" t="str">
        <f>_xlfn.XLOOKUP(Table1[[#This Row],[OrderID]],'Courier company invoice'!B:B,'Courier company invoice'!F:F)</f>
        <v>d</v>
      </c>
      <c r="J140" s="1" t="str">
        <f>_xlfn.XLOOKUP(Table1[[#This Row],[OrderID]],Table2[Order ID],Table2[Type of Shipment],"Not Found")</f>
        <v>Forward charges</v>
      </c>
      <c r="K140">
        <f>INDEX(Sheet1[],1,MATCH("fwd_"&amp;Table1[[#This Row],[Zone]]&amp;"_fixed",Sheet1[#Headers],0))</f>
        <v>45.4</v>
      </c>
      <c r="L140">
        <f>INDEX(Sheet1[],1,MATCH("fwd_"&amp;Table1[[#This Row],[Zone]]&amp;"_additional",Sheet1[#Headers],0))</f>
        <v>44.8</v>
      </c>
      <c r="M140" s="1">
        <f>(Table1[[#This Row],[Weight slab]]-0.5)/0.5</f>
        <v>0</v>
      </c>
      <c r="N140" s="1">
        <f>Table1[[#This Row],[Fixed_Charges]]+Table1[[#This Row],[No_of_Extra_slabs]]*Table1[[#This Row],[Additional_Charges]]</f>
        <v>45.4</v>
      </c>
      <c r="O140">
        <f>_xlfn.XLOOKUP(Table1[[#This Row],[OrderID]],'Courier company invoice'!B:B,'Courier company invoice'!H:H)</f>
        <v>224.6</v>
      </c>
      <c r="P140" s="1">
        <f>Table1[[#This Row],[Billing Amount]]-Table1[[#This Row],[Expected charges]]</f>
        <v>179.2</v>
      </c>
      <c r="Q140" s="1" t="str" cm="1">
        <f t="array" ref="Q14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41" spans="1:17" x14ac:dyDescent="0.3">
      <c r="A141" s="3" t="s">
        <v>45</v>
      </c>
      <c r="B141" s="2">
        <f>Table1[[#This Row],[Order ID]]*1</f>
        <v>2001810697</v>
      </c>
      <c r="C141" s="2">
        <v>8904223819468</v>
      </c>
      <c r="D141">
        <v>1</v>
      </c>
      <c r="E141">
        <f>_xlfn.XLOOKUP(Table1[[#This Row],[SKU (Product Code)]],'SKU Master'!A:A,'SKU Master'!B:B)</f>
        <v>240</v>
      </c>
      <c r="F141">
        <f>Table1[[#This Row],[Product weight]]*Table1[[#This Row],[Order Qty]]</f>
        <v>240</v>
      </c>
      <c r="G141">
        <f>Table1[[#This Row],[Weight per order (g)]]/1000</f>
        <v>0.24</v>
      </c>
      <c r="H141" s="1">
        <f>CEILING(Table1[[#This Row],[Weight per order (Kg)]],0.5)</f>
        <v>0.5</v>
      </c>
      <c r="I141" t="str">
        <f>_xlfn.XLOOKUP(Table1[[#This Row],[OrderID]],'Courier company invoice'!B:B,'Courier company invoice'!F:F)</f>
        <v>d</v>
      </c>
      <c r="J141" s="1" t="str">
        <f>_xlfn.XLOOKUP(Table1[[#This Row],[OrderID]],Table2[Order ID],Table2[Type of Shipment],"Not Found")</f>
        <v>Forward charges</v>
      </c>
      <c r="K141">
        <f>INDEX(Sheet1[],1,MATCH("fwd_"&amp;Table1[[#This Row],[Zone]]&amp;"_fixed",Sheet1[#Headers],0))</f>
        <v>45.4</v>
      </c>
      <c r="L141">
        <f>INDEX(Sheet1[],1,MATCH("fwd_"&amp;Table1[[#This Row],[Zone]]&amp;"_additional",Sheet1[#Headers],0))</f>
        <v>44.8</v>
      </c>
      <c r="M141" s="1">
        <f>(Table1[[#This Row],[Weight slab]]-0.5)/0.5</f>
        <v>0</v>
      </c>
      <c r="N141" s="1">
        <f>Table1[[#This Row],[Fixed_Charges]]+Table1[[#This Row],[No_of_Extra_slabs]]*Table1[[#This Row],[Additional_Charges]]</f>
        <v>45.4</v>
      </c>
      <c r="O141">
        <f>_xlfn.XLOOKUP(Table1[[#This Row],[OrderID]],'Courier company invoice'!B:B,'Courier company invoice'!H:H)</f>
        <v>224.6</v>
      </c>
      <c r="P141" s="1">
        <f>Table1[[#This Row],[Billing Amount]]-Table1[[#This Row],[Expected charges]]</f>
        <v>179.2</v>
      </c>
      <c r="Q141" s="1" t="str" cm="1">
        <f t="array" ref="Q14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42" spans="1:17" x14ac:dyDescent="0.3">
      <c r="A142" s="3" t="s">
        <v>46</v>
      </c>
      <c r="B142" s="2">
        <f>Table1[[#This Row],[Order ID]]*1</f>
        <v>2001810549</v>
      </c>
      <c r="C142" s="2">
        <v>8904223819468</v>
      </c>
      <c r="D142">
        <v>1</v>
      </c>
      <c r="E142">
        <f>_xlfn.XLOOKUP(Table1[[#This Row],[SKU (Product Code)]],'SKU Master'!A:A,'SKU Master'!B:B)</f>
        <v>240</v>
      </c>
      <c r="F142">
        <f>Table1[[#This Row],[Product weight]]*Table1[[#This Row],[Order Qty]]</f>
        <v>240</v>
      </c>
      <c r="G142">
        <f>Table1[[#This Row],[Weight per order (g)]]/1000</f>
        <v>0.24</v>
      </c>
      <c r="H142" s="1">
        <f>CEILING(Table1[[#This Row],[Weight per order (Kg)]],0.5)</f>
        <v>0.5</v>
      </c>
      <c r="I142" t="str">
        <f>_xlfn.XLOOKUP(Table1[[#This Row],[OrderID]],'Courier company invoice'!B:B,'Courier company invoice'!F:F)</f>
        <v>d</v>
      </c>
      <c r="J142" s="1" t="str">
        <f>_xlfn.XLOOKUP(Table1[[#This Row],[OrderID]],Table2[Order ID],Table2[Type of Shipment],"Not Found")</f>
        <v>Forward charges</v>
      </c>
      <c r="K142">
        <f>INDEX(Sheet1[],1,MATCH("fwd_"&amp;Table1[[#This Row],[Zone]]&amp;"_fixed",Sheet1[#Headers],0))</f>
        <v>45.4</v>
      </c>
      <c r="L142">
        <f>INDEX(Sheet1[],1,MATCH("fwd_"&amp;Table1[[#This Row],[Zone]]&amp;"_additional",Sheet1[#Headers],0))</f>
        <v>44.8</v>
      </c>
      <c r="M142" s="1">
        <f>(Table1[[#This Row],[Weight slab]]-0.5)/0.5</f>
        <v>0</v>
      </c>
      <c r="N142" s="1">
        <f>Table1[[#This Row],[Fixed_Charges]]+Table1[[#This Row],[No_of_Extra_slabs]]*Table1[[#This Row],[Additional_Charges]]</f>
        <v>45.4</v>
      </c>
      <c r="O142">
        <f>_xlfn.XLOOKUP(Table1[[#This Row],[OrderID]],'Courier company invoice'!B:B,'Courier company invoice'!H:H)</f>
        <v>179.8</v>
      </c>
      <c r="P142" s="1">
        <f>Table1[[#This Row],[Billing Amount]]-Table1[[#This Row],[Expected charges]]</f>
        <v>134.4</v>
      </c>
      <c r="Q142" s="1" t="str" cm="1">
        <f t="array" ref="Q14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43" spans="1:17" x14ac:dyDescent="0.3">
      <c r="A143" s="3" t="s">
        <v>46</v>
      </c>
      <c r="B143" s="2">
        <f>Table1[[#This Row],[Order ID]]*1</f>
        <v>2001810549</v>
      </c>
      <c r="C143" s="2">
        <v>8904223818454</v>
      </c>
      <c r="D143">
        <v>1</v>
      </c>
      <c r="E143">
        <f>_xlfn.XLOOKUP(Table1[[#This Row],[SKU (Product Code)]],'SKU Master'!A:A,'SKU Master'!B:B)</f>
        <v>232</v>
      </c>
      <c r="F143">
        <f>Table1[[#This Row],[Product weight]]*Table1[[#This Row],[Order Qty]]</f>
        <v>232</v>
      </c>
      <c r="G143">
        <f>Table1[[#This Row],[Weight per order (g)]]/1000</f>
        <v>0.23200000000000001</v>
      </c>
      <c r="H143" s="1">
        <f>CEILING(Table1[[#This Row],[Weight per order (Kg)]],0.5)</f>
        <v>0.5</v>
      </c>
      <c r="I143" t="str">
        <f>_xlfn.XLOOKUP(Table1[[#This Row],[OrderID]],'Courier company invoice'!B:B,'Courier company invoice'!F:F)</f>
        <v>d</v>
      </c>
      <c r="J143" s="1" t="str">
        <f>_xlfn.XLOOKUP(Table1[[#This Row],[OrderID]],Table2[Order ID],Table2[Type of Shipment],"Not Found")</f>
        <v>Forward charges</v>
      </c>
      <c r="K143">
        <f>INDEX(Sheet1[],1,MATCH("fwd_"&amp;Table1[[#This Row],[Zone]]&amp;"_fixed",Sheet1[#Headers],0))</f>
        <v>45.4</v>
      </c>
      <c r="L143">
        <f>INDEX(Sheet1[],1,MATCH("fwd_"&amp;Table1[[#This Row],[Zone]]&amp;"_additional",Sheet1[#Headers],0))</f>
        <v>44.8</v>
      </c>
      <c r="M143" s="1">
        <f>(Table1[[#This Row],[Weight slab]]-0.5)/0.5</f>
        <v>0</v>
      </c>
      <c r="N143" s="1">
        <f>Table1[[#This Row],[Fixed_Charges]]+Table1[[#This Row],[No_of_Extra_slabs]]*Table1[[#This Row],[Additional_Charges]]</f>
        <v>45.4</v>
      </c>
      <c r="O143">
        <f>_xlfn.XLOOKUP(Table1[[#This Row],[OrderID]],'Courier company invoice'!B:B,'Courier company invoice'!H:H)</f>
        <v>179.8</v>
      </c>
      <c r="P143" s="1">
        <f>Table1[[#This Row],[Billing Amount]]-Table1[[#This Row],[Expected charges]]</f>
        <v>134.4</v>
      </c>
      <c r="Q143" s="1" t="str" cm="1">
        <f t="array" ref="Q14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44" spans="1:17" x14ac:dyDescent="0.3">
      <c r="A144" s="3" t="s">
        <v>46</v>
      </c>
      <c r="B144" s="2">
        <f>Table1[[#This Row],[Order ID]]*1</f>
        <v>2001810549</v>
      </c>
      <c r="C144" s="2">
        <v>8904223818669</v>
      </c>
      <c r="D144">
        <v>1</v>
      </c>
      <c r="E144">
        <f>_xlfn.XLOOKUP(Table1[[#This Row],[SKU (Product Code)]],'SKU Master'!A:A,'SKU Master'!B:B)</f>
        <v>240</v>
      </c>
      <c r="F144">
        <f>Table1[[#This Row],[Product weight]]*Table1[[#This Row],[Order Qty]]</f>
        <v>240</v>
      </c>
      <c r="G144">
        <f>Table1[[#This Row],[Weight per order (g)]]/1000</f>
        <v>0.24</v>
      </c>
      <c r="H144" s="1">
        <f>CEILING(Table1[[#This Row],[Weight per order (Kg)]],0.5)</f>
        <v>0.5</v>
      </c>
      <c r="I144" t="str">
        <f>_xlfn.XLOOKUP(Table1[[#This Row],[OrderID]],'Courier company invoice'!B:B,'Courier company invoice'!F:F)</f>
        <v>d</v>
      </c>
      <c r="J144" s="1" t="str">
        <f>_xlfn.XLOOKUP(Table1[[#This Row],[OrderID]],Table2[Order ID],Table2[Type of Shipment],"Not Found")</f>
        <v>Forward charges</v>
      </c>
      <c r="K144">
        <f>INDEX(Sheet1[],1,MATCH("fwd_"&amp;Table1[[#This Row],[Zone]]&amp;"_fixed",Sheet1[#Headers],0))</f>
        <v>45.4</v>
      </c>
      <c r="L144">
        <f>INDEX(Sheet1[],1,MATCH("fwd_"&amp;Table1[[#This Row],[Zone]]&amp;"_additional",Sheet1[#Headers],0))</f>
        <v>44.8</v>
      </c>
      <c r="M144" s="1">
        <f>(Table1[[#This Row],[Weight slab]]-0.5)/0.5</f>
        <v>0</v>
      </c>
      <c r="N144" s="1">
        <f>Table1[[#This Row],[Fixed_Charges]]+Table1[[#This Row],[No_of_Extra_slabs]]*Table1[[#This Row],[Additional_Charges]]</f>
        <v>45.4</v>
      </c>
      <c r="O144">
        <f>_xlfn.XLOOKUP(Table1[[#This Row],[OrderID]],'Courier company invoice'!B:B,'Courier company invoice'!H:H)</f>
        <v>179.8</v>
      </c>
      <c r="P144" s="1">
        <f>Table1[[#This Row],[Billing Amount]]-Table1[[#This Row],[Expected charges]]</f>
        <v>134.4</v>
      </c>
      <c r="Q144" s="1" t="str" cm="1">
        <f t="array" ref="Q14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45" spans="1:17" x14ac:dyDescent="0.3">
      <c r="A145" s="3" t="s">
        <v>46</v>
      </c>
      <c r="B145" s="2">
        <f>Table1[[#This Row],[Order ID]]*1</f>
        <v>2001810549</v>
      </c>
      <c r="C145" s="2">
        <v>8904223818638</v>
      </c>
      <c r="D145">
        <v>2</v>
      </c>
      <c r="E145">
        <f>_xlfn.XLOOKUP(Table1[[#This Row],[SKU (Product Code)]],'SKU Master'!A:A,'SKU Master'!B:B)</f>
        <v>137</v>
      </c>
      <c r="F145">
        <f>Table1[[#This Row],[Product weight]]*Table1[[#This Row],[Order Qty]]</f>
        <v>274</v>
      </c>
      <c r="G145">
        <f>Table1[[#This Row],[Weight per order (g)]]/1000</f>
        <v>0.27400000000000002</v>
      </c>
      <c r="H145" s="1">
        <f>CEILING(Table1[[#This Row],[Weight per order (Kg)]],0.5)</f>
        <v>0.5</v>
      </c>
      <c r="I145" t="str">
        <f>_xlfn.XLOOKUP(Table1[[#This Row],[OrderID]],'Courier company invoice'!B:B,'Courier company invoice'!F:F)</f>
        <v>d</v>
      </c>
      <c r="J145" s="1" t="str">
        <f>_xlfn.XLOOKUP(Table1[[#This Row],[OrderID]],Table2[Order ID],Table2[Type of Shipment],"Not Found")</f>
        <v>Forward charges</v>
      </c>
      <c r="K145">
        <f>INDEX(Sheet1[],1,MATCH("fwd_"&amp;Table1[[#This Row],[Zone]]&amp;"_fixed",Sheet1[#Headers],0))</f>
        <v>45.4</v>
      </c>
      <c r="L145">
        <f>INDEX(Sheet1[],1,MATCH("fwd_"&amp;Table1[[#This Row],[Zone]]&amp;"_additional",Sheet1[#Headers],0))</f>
        <v>44.8</v>
      </c>
      <c r="M145" s="1">
        <f>(Table1[[#This Row],[Weight slab]]-0.5)/0.5</f>
        <v>0</v>
      </c>
      <c r="N145" s="1">
        <f>Table1[[#This Row],[Fixed_Charges]]+Table1[[#This Row],[No_of_Extra_slabs]]*Table1[[#This Row],[Additional_Charges]]</f>
        <v>45.4</v>
      </c>
      <c r="O145">
        <f>_xlfn.XLOOKUP(Table1[[#This Row],[OrderID]],'Courier company invoice'!B:B,'Courier company invoice'!H:H)</f>
        <v>179.8</v>
      </c>
      <c r="P145" s="1">
        <f>Table1[[#This Row],[Billing Amount]]-Table1[[#This Row],[Expected charges]]</f>
        <v>134.4</v>
      </c>
      <c r="Q145" s="1" t="str" cm="1">
        <f t="array" ref="Q14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46" spans="1:17" x14ac:dyDescent="0.3">
      <c r="A146" s="3" t="s">
        <v>47</v>
      </c>
      <c r="B146" s="2">
        <f>Table1[[#This Row],[Order ID]]*1</f>
        <v>2001810281</v>
      </c>
      <c r="C146" s="2">
        <v>8904223818706</v>
      </c>
      <c r="D146">
        <v>1</v>
      </c>
      <c r="E146">
        <f>_xlfn.XLOOKUP(Table1[[#This Row],[SKU (Product Code)]],'SKU Master'!A:A,'SKU Master'!B:B)</f>
        <v>127</v>
      </c>
      <c r="F146">
        <f>Table1[[#This Row],[Product weight]]*Table1[[#This Row],[Order Qty]]</f>
        <v>127</v>
      </c>
      <c r="G146">
        <f>Table1[[#This Row],[Weight per order (g)]]/1000</f>
        <v>0.127</v>
      </c>
      <c r="H146" s="1">
        <f>CEILING(Table1[[#This Row],[Weight per order (Kg)]],0.5)</f>
        <v>0.5</v>
      </c>
      <c r="I146" t="str">
        <f>_xlfn.XLOOKUP(Table1[[#This Row],[OrderID]],'Courier company invoice'!B:B,'Courier company invoice'!F:F)</f>
        <v>d</v>
      </c>
      <c r="J146" s="1" t="str">
        <f>_xlfn.XLOOKUP(Table1[[#This Row],[OrderID]],Table2[Order ID],Table2[Type of Shipment],"Not Found")</f>
        <v>Forward charges</v>
      </c>
      <c r="K146">
        <f>INDEX(Sheet1[],1,MATCH("fwd_"&amp;Table1[[#This Row],[Zone]]&amp;"_fixed",Sheet1[#Headers],0))</f>
        <v>45.4</v>
      </c>
      <c r="L146">
        <f>INDEX(Sheet1[],1,MATCH("fwd_"&amp;Table1[[#This Row],[Zone]]&amp;"_additional",Sheet1[#Headers],0))</f>
        <v>44.8</v>
      </c>
      <c r="M146" s="1">
        <f>(Table1[[#This Row],[Weight slab]]-0.5)/0.5</f>
        <v>0</v>
      </c>
      <c r="N146" s="1">
        <f>Table1[[#This Row],[Fixed_Charges]]+Table1[[#This Row],[No_of_Extra_slabs]]*Table1[[#This Row],[Additional_Charges]]</f>
        <v>45.4</v>
      </c>
      <c r="O146">
        <f>_xlfn.XLOOKUP(Table1[[#This Row],[OrderID]],'Courier company invoice'!B:B,'Courier company invoice'!H:H)</f>
        <v>90.2</v>
      </c>
      <c r="P146" s="1">
        <f>Table1[[#This Row],[Billing Amount]]-Table1[[#This Row],[Expected charges]]</f>
        <v>44.800000000000004</v>
      </c>
      <c r="Q146" s="1" t="str" cm="1">
        <f t="array" ref="Q14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47" spans="1:17" x14ac:dyDescent="0.3">
      <c r="A147" s="3" t="s">
        <v>47</v>
      </c>
      <c r="B147" s="2">
        <f>Table1[[#This Row],[Order ID]]*1</f>
        <v>2001810281</v>
      </c>
      <c r="C147" s="2">
        <v>8904223818942</v>
      </c>
      <c r="D147">
        <v>1</v>
      </c>
      <c r="E147">
        <f>_xlfn.XLOOKUP(Table1[[#This Row],[SKU (Product Code)]],'SKU Master'!A:A,'SKU Master'!B:B)</f>
        <v>133</v>
      </c>
      <c r="F147">
        <f>Table1[[#This Row],[Product weight]]*Table1[[#This Row],[Order Qty]]</f>
        <v>133</v>
      </c>
      <c r="G147">
        <f>Table1[[#This Row],[Weight per order (g)]]/1000</f>
        <v>0.13300000000000001</v>
      </c>
      <c r="H147" s="1">
        <f>CEILING(Table1[[#This Row],[Weight per order (Kg)]],0.5)</f>
        <v>0.5</v>
      </c>
      <c r="I147" t="str">
        <f>_xlfn.XLOOKUP(Table1[[#This Row],[OrderID]],'Courier company invoice'!B:B,'Courier company invoice'!F:F)</f>
        <v>d</v>
      </c>
      <c r="J147" s="1" t="str">
        <f>_xlfn.XLOOKUP(Table1[[#This Row],[OrderID]],Table2[Order ID],Table2[Type of Shipment],"Not Found")</f>
        <v>Forward charges</v>
      </c>
      <c r="K147">
        <f>INDEX(Sheet1[],1,MATCH("fwd_"&amp;Table1[[#This Row],[Zone]]&amp;"_fixed",Sheet1[#Headers],0))</f>
        <v>45.4</v>
      </c>
      <c r="L147">
        <f>INDEX(Sheet1[],1,MATCH("fwd_"&amp;Table1[[#This Row],[Zone]]&amp;"_additional",Sheet1[#Headers],0))</f>
        <v>44.8</v>
      </c>
      <c r="M147" s="1">
        <f>(Table1[[#This Row],[Weight slab]]-0.5)/0.5</f>
        <v>0</v>
      </c>
      <c r="N147" s="1">
        <f>Table1[[#This Row],[Fixed_Charges]]+Table1[[#This Row],[No_of_Extra_slabs]]*Table1[[#This Row],[Additional_Charges]]</f>
        <v>45.4</v>
      </c>
      <c r="O147">
        <f>_xlfn.XLOOKUP(Table1[[#This Row],[OrderID]],'Courier company invoice'!B:B,'Courier company invoice'!H:H)</f>
        <v>90.2</v>
      </c>
      <c r="P147" s="1">
        <f>Table1[[#This Row],[Billing Amount]]-Table1[[#This Row],[Expected charges]]</f>
        <v>44.800000000000004</v>
      </c>
      <c r="Q147" s="1" t="str" cm="1">
        <f t="array" ref="Q14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48" spans="1:17" x14ac:dyDescent="0.3">
      <c r="A148" s="3" t="s">
        <v>47</v>
      </c>
      <c r="B148" s="2">
        <f>Table1[[#This Row],[Order ID]]*1</f>
        <v>2001810281</v>
      </c>
      <c r="C148" s="2">
        <v>8904223818850</v>
      </c>
      <c r="D148">
        <v>1</v>
      </c>
      <c r="E148">
        <f>_xlfn.XLOOKUP(Table1[[#This Row],[SKU (Product Code)]],'SKU Master'!A:A,'SKU Master'!B:B)</f>
        <v>240</v>
      </c>
      <c r="F148">
        <f>Table1[[#This Row],[Product weight]]*Table1[[#This Row],[Order Qty]]</f>
        <v>240</v>
      </c>
      <c r="G148">
        <f>Table1[[#This Row],[Weight per order (g)]]/1000</f>
        <v>0.24</v>
      </c>
      <c r="H148" s="1">
        <f>CEILING(Table1[[#This Row],[Weight per order (Kg)]],0.5)</f>
        <v>0.5</v>
      </c>
      <c r="I148" t="str">
        <f>_xlfn.XLOOKUP(Table1[[#This Row],[OrderID]],'Courier company invoice'!B:B,'Courier company invoice'!F:F)</f>
        <v>d</v>
      </c>
      <c r="J148" s="1" t="str">
        <f>_xlfn.XLOOKUP(Table1[[#This Row],[OrderID]],Table2[Order ID],Table2[Type of Shipment],"Not Found")</f>
        <v>Forward charges</v>
      </c>
      <c r="K148">
        <f>INDEX(Sheet1[],1,MATCH("fwd_"&amp;Table1[[#This Row],[Zone]]&amp;"_fixed",Sheet1[#Headers],0))</f>
        <v>45.4</v>
      </c>
      <c r="L148">
        <f>INDEX(Sheet1[],1,MATCH("fwd_"&amp;Table1[[#This Row],[Zone]]&amp;"_additional",Sheet1[#Headers],0))</f>
        <v>44.8</v>
      </c>
      <c r="M148" s="1">
        <f>(Table1[[#This Row],[Weight slab]]-0.5)/0.5</f>
        <v>0</v>
      </c>
      <c r="N148" s="1">
        <f>Table1[[#This Row],[Fixed_Charges]]+Table1[[#This Row],[No_of_Extra_slabs]]*Table1[[#This Row],[Additional_Charges]]</f>
        <v>45.4</v>
      </c>
      <c r="O148">
        <f>_xlfn.XLOOKUP(Table1[[#This Row],[OrderID]],'Courier company invoice'!B:B,'Courier company invoice'!H:H)</f>
        <v>90.2</v>
      </c>
      <c r="P148" s="1">
        <f>Table1[[#This Row],[Billing Amount]]-Table1[[#This Row],[Expected charges]]</f>
        <v>44.800000000000004</v>
      </c>
      <c r="Q148" s="1" t="str" cm="1">
        <f t="array" ref="Q14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49" spans="1:17" x14ac:dyDescent="0.3">
      <c r="A149" s="3" t="s">
        <v>48</v>
      </c>
      <c r="B149" s="2">
        <f>Table1[[#This Row],[Order ID]]*1</f>
        <v>2001810125</v>
      </c>
      <c r="C149" s="2">
        <v>8904223818706</v>
      </c>
      <c r="D149">
        <v>1</v>
      </c>
      <c r="E149">
        <f>_xlfn.XLOOKUP(Table1[[#This Row],[SKU (Product Code)]],'SKU Master'!A:A,'SKU Master'!B:B)</f>
        <v>127</v>
      </c>
      <c r="F149">
        <f>Table1[[#This Row],[Product weight]]*Table1[[#This Row],[Order Qty]]</f>
        <v>127</v>
      </c>
      <c r="G149">
        <f>Table1[[#This Row],[Weight per order (g)]]/1000</f>
        <v>0.127</v>
      </c>
      <c r="H149" s="1">
        <f>CEILING(Table1[[#This Row],[Weight per order (Kg)]],0.5)</f>
        <v>0.5</v>
      </c>
      <c r="I149" t="str">
        <f>_xlfn.XLOOKUP(Table1[[#This Row],[OrderID]],'Courier company invoice'!B:B,'Courier company invoice'!F:F)</f>
        <v>d</v>
      </c>
      <c r="J149" s="1" t="str">
        <f>_xlfn.XLOOKUP(Table1[[#This Row],[OrderID]],Table2[Order ID],Table2[Type of Shipment],"Not Found")</f>
        <v>Forward charges</v>
      </c>
      <c r="K149">
        <f>INDEX(Sheet1[],1,MATCH("fwd_"&amp;Table1[[#This Row],[Zone]]&amp;"_fixed",Sheet1[#Headers],0))</f>
        <v>45.4</v>
      </c>
      <c r="L149">
        <f>INDEX(Sheet1[],1,MATCH("fwd_"&amp;Table1[[#This Row],[Zone]]&amp;"_additional",Sheet1[#Headers],0))</f>
        <v>44.8</v>
      </c>
      <c r="M149" s="1">
        <f>(Table1[[#This Row],[Weight slab]]-0.5)/0.5</f>
        <v>0</v>
      </c>
      <c r="N149" s="1">
        <f>Table1[[#This Row],[Fixed_Charges]]+Table1[[#This Row],[No_of_Extra_slabs]]*Table1[[#This Row],[Additional_Charges]]</f>
        <v>45.4</v>
      </c>
      <c r="O149">
        <f>_xlfn.XLOOKUP(Table1[[#This Row],[OrderID]],'Courier company invoice'!B:B,'Courier company invoice'!H:H)</f>
        <v>90.2</v>
      </c>
      <c r="P149" s="1">
        <f>Table1[[#This Row],[Billing Amount]]-Table1[[#This Row],[Expected charges]]</f>
        <v>44.800000000000004</v>
      </c>
      <c r="Q149" s="1" t="str" cm="1">
        <f t="array" ref="Q14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50" spans="1:17" x14ac:dyDescent="0.3">
      <c r="A150" s="3" t="s">
        <v>48</v>
      </c>
      <c r="B150" s="2">
        <f>Table1[[#This Row],[Order ID]]*1</f>
        <v>2001810125</v>
      </c>
      <c r="C150" s="2">
        <v>8904223818942</v>
      </c>
      <c r="D150">
        <v>1</v>
      </c>
      <c r="E150">
        <f>_xlfn.XLOOKUP(Table1[[#This Row],[SKU (Product Code)]],'SKU Master'!A:A,'SKU Master'!B:B)</f>
        <v>133</v>
      </c>
      <c r="F150">
        <f>Table1[[#This Row],[Product weight]]*Table1[[#This Row],[Order Qty]]</f>
        <v>133</v>
      </c>
      <c r="G150">
        <f>Table1[[#This Row],[Weight per order (g)]]/1000</f>
        <v>0.13300000000000001</v>
      </c>
      <c r="H150" s="1">
        <f>CEILING(Table1[[#This Row],[Weight per order (Kg)]],0.5)</f>
        <v>0.5</v>
      </c>
      <c r="I150" t="str">
        <f>_xlfn.XLOOKUP(Table1[[#This Row],[OrderID]],'Courier company invoice'!B:B,'Courier company invoice'!F:F)</f>
        <v>d</v>
      </c>
      <c r="J150" s="1" t="str">
        <f>_xlfn.XLOOKUP(Table1[[#This Row],[OrderID]],Table2[Order ID],Table2[Type of Shipment],"Not Found")</f>
        <v>Forward charges</v>
      </c>
      <c r="K150">
        <f>INDEX(Sheet1[],1,MATCH("fwd_"&amp;Table1[[#This Row],[Zone]]&amp;"_fixed",Sheet1[#Headers],0))</f>
        <v>45.4</v>
      </c>
      <c r="L150">
        <f>INDEX(Sheet1[],1,MATCH("fwd_"&amp;Table1[[#This Row],[Zone]]&amp;"_additional",Sheet1[#Headers],0))</f>
        <v>44.8</v>
      </c>
      <c r="M150" s="1">
        <f>(Table1[[#This Row],[Weight slab]]-0.5)/0.5</f>
        <v>0</v>
      </c>
      <c r="N150" s="1">
        <f>Table1[[#This Row],[Fixed_Charges]]+Table1[[#This Row],[No_of_Extra_slabs]]*Table1[[#This Row],[Additional_Charges]]</f>
        <v>45.4</v>
      </c>
      <c r="O150">
        <f>_xlfn.XLOOKUP(Table1[[#This Row],[OrderID]],'Courier company invoice'!B:B,'Courier company invoice'!H:H)</f>
        <v>90.2</v>
      </c>
      <c r="P150" s="1">
        <f>Table1[[#This Row],[Billing Amount]]-Table1[[#This Row],[Expected charges]]</f>
        <v>44.800000000000004</v>
      </c>
      <c r="Q150" s="1" t="str" cm="1">
        <f t="array" ref="Q15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51" spans="1:17" x14ac:dyDescent="0.3">
      <c r="A151" s="3" t="s">
        <v>48</v>
      </c>
      <c r="B151" s="2">
        <f>Table1[[#This Row],[Order ID]]*1</f>
        <v>2001810125</v>
      </c>
      <c r="C151" s="2">
        <v>8904223818850</v>
      </c>
      <c r="D151">
        <v>1</v>
      </c>
      <c r="E151">
        <f>_xlfn.XLOOKUP(Table1[[#This Row],[SKU (Product Code)]],'SKU Master'!A:A,'SKU Master'!B:B)</f>
        <v>240</v>
      </c>
      <c r="F151">
        <f>Table1[[#This Row],[Product weight]]*Table1[[#This Row],[Order Qty]]</f>
        <v>240</v>
      </c>
      <c r="G151">
        <f>Table1[[#This Row],[Weight per order (g)]]/1000</f>
        <v>0.24</v>
      </c>
      <c r="H151" s="1">
        <f>CEILING(Table1[[#This Row],[Weight per order (Kg)]],0.5)</f>
        <v>0.5</v>
      </c>
      <c r="I151" t="str">
        <f>_xlfn.XLOOKUP(Table1[[#This Row],[OrderID]],'Courier company invoice'!B:B,'Courier company invoice'!F:F)</f>
        <v>d</v>
      </c>
      <c r="J151" s="1" t="str">
        <f>_xlfn.XLOOKUP(Table1[[#This Row],[OrderID]],Table2[Order ID],Table2[Type of Shipment],"Not Found")</f>
        <v>Forward charges</v>
      </c>
      <c r="K151">
        <f>INDEX(Sheet1[],1,MATCH("fwd_"&amp;Table1[[#This Row],[Zone]]&amp;"_fixed",Sheet1[#Headers],0))</f>
        <v>45.4</v>
      </c>
      <c r="L151">
        <f>INDEX(Sheet1[],1,MATCH("fwd_"&amp;Table1[[#This Row],[Zone]]&amp;"_additional",Sheet1[#Headers],0))</f>
        <v>44.8</v>
      </c>
      <c r="M151" s="1">
        <f>(Table1[[#This Row],[Weight slab]]-0.5)/0.5</f>
        <v>0</v>
      </c>
      <c r="N151" s="1">
        <f>Table1[[#This Row],[Fixed_Charges]]+Table1[[#This Row],[No_of_Extra_slabs]]*Table1[[#This Row],[Additional_Charges]]</f>
        <v>45.4</v>
      </c>
      <c r="O151">
        <f>_xlfn.XLOOKUP(Table1[[#This Row],[OrderID]],'Courier company invoice'!B:B,'Courier company invoice'!H:H)</f>
        <v>90.2</v>
      </c>
      <c r="P151" s="1">
        <f>Table1[[#This Row],[Billing Amount]]-Table1[[#This Row],[Expected charges]]</f>
        <v>44.800000000000004</v>
      </c>
      <c r="Q151" s="1" t="str" cm="1">
        <f t="array" ref="Q15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52" spans="1:17" x14ac:dyDescent="0.3">
      <c r="A152" s="3" t="s">
        <v>49</v>
      </c>
      <c r="B152" s="2">
        <f>Table1[[#This Row],[Order ID]]*1</f>
        <v>2001810104</v>
      </c>
      <c r="C152" s="2">
        <v>8904223818850</v>
      </c>
      <c r="D152">
        <v>1</v>
      </c>
      <c r="E152">
        <f>_xlfn.XLOOKUP(Table1[[#This Row],[SKU (Product Code)]],'SKU Master'!A:A,'SKU Master'!B:B)</f>
        <v>240</v>
      </c>
      <c r="F152">
        <f>Table1[[#This Row],[Product weight]]*Table1[[#This Row],[Order Qty]]</f>
        <v>240</v>
      </c>
      <c r="G152">
        <f>Table1[[#This Row],[Weight per order (g)]]/1000</f>
        <v>0.24</v>
      </c>
      <c r="H152" s="1">
        <f>CEILING(Table1[[#This Row],[Weight per order (Kg)]],0.5)</f>
        <v>0.5</v>
      </c>
      <c r="I152" t="str">
        <f>_xlfn.XLOOKUP(Table1[[#This Row],[OrderID]],'Courier company invoice'!B:B,'Courier company invoice'!F:F)</f>
        <v>d</v>
      </c>
      <c r="J152" s="1" t="str">
        <f>_xlfn.XLOOKUP(Table1[[#This Row],[OrderID]],Table2[Order ID],Table2[Type of Shipment],"Not Found")</f>
        <v>Forward charges</v>
      </c>
      <c r="K152">
        <f>INDEX(Sheet1[],1,MATCH("fwd_"&amp;Table1[[#This Row],[Zone]]&amp;"_fixed",Sheet1[#Headers],0))</f>
        <v>45.4</v>
      </c>
      <c r="L152">
        <f>INDEX(Sheet1[],1,MATCH("fwd_"&amp;Table1[[#This Row],[Zone]]&amp;"_additional",Sheet1[#Headers],0))</f>
        <v>44.8</v>
      </c>
      <c r="M152" s="1">
        <f>(Table1[[#This Row],[Weight slab]]-0.5)/0.5</f>
        <v>0</v>
      </c>
      <c r="N152" s="1">
        <f>Table1[[#This Row],[Fixed_Charges]]+Table1[[#This Row],[No_of_Extra_slabs]]*Table1[[#This Row],[Additional_Charges]]</f>
        <v>45.4</v>
      </c>
      <c r="O152">
        <f>_xlfn.XLOOKUP(Table1[[#This Row],[OrderID]],'Courier company invoice'!B:B,'Courier company invoice'!H:H)</f>
        <v>90.2</v>
      </c>
      <c r="P152" s="1">
        <f>Table1[[#This Row],[Billing Amount]]-Table1[[#This Row],[Expected charges]]</f>
        <v>44.800000000000004</v>
      </c>
      <c r="Q152" s="1" t="str" cm="1">
        <f t="array" ref="Q15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53" spans="1:17" x14ac:dyDescent="0.3">
      <c r="A153" s="3" t="s">
        <v>49</v>
      </c>
      <c r="B153" s="2">
        <f>Table1[[#This Row],[Order ID]]*1</f>
        <v>2001810104</v>
      </c>
      <c r="C153" s="2">
        <v>8904223818683</v>
      </c>
      <c r="D153">
        <v>1</v>
      </c>
      <c r="E153">
        <f>_xlfn.XLOOKUP(Table1[[#This Row],[SKU (Product Code)]],'SKU Master'!A:A,'SKU Master'!B:B)</f>
        <v>121</v>
      </c>
      <c r="F153">
        <f>Table1[[#This Row],[Product weight]]*Table1[[#This Row],[Order Qty]]</f>
        <v>121</v>
      </c>
      <c r="G153">
        <f>Table1[[#This Row],[Weight per order (g)]]/1000</f>
        <v>0.121</v>
      </c>
      <c r="H153" s="1">
        <f>CEILING(Table1[[#This Row],[Weight per order (Kg)]],0.5)</f>
        <v>0.5</v>
      </c>
      <c r="I153" t="str">
        <f>_xlfn.XLOOKUP(Table1[[#This Row],[OrderID]],'Courier company invoice'!B:B,'Courier company invoice'!F:F)</f>
        <v>d</v>
      </c>
      <c r="J153" s="1" t="str">
        <f>_xlfn.XLOOKUP(Table1[[#This Row],[OrderID]],Table2[Order ID],Table2[Type of Shipment],"Not Found")</f>
        <v>Forward charges</v>
      </c>
      <c r="K153">
        <f>INDEX(Sheet1[],1,MATCH("fwd_"&amp;Table1[[#This Row],[Zone]]&amp;"_fixed",Sheet1[#Headers],0))</f>
        <v>45.4</v>
      </c>
      <c r="L153">
        <f>INDEX(Sheet1[],1,MATCH("fwd_"&amp;Table1[[#This Row],[Zone]]&amp;"_additional",Sheet1[#Headers],0))</f>
        <v>44.8</v>
      </c>
      <c r="M153" s="1">
        <f>(Table1[[#This Row],[Weight slab]]-0.5)/0.5</f>
        <v>0</v>
      </c>
      <c r="N153" s="1">
        <f>Table1[[#This Row],[Fixed_Charges]]+Table1[[#This Row],[No_of_Extra_slabs]]*Table1[[#This Row],[Additional_Charges]]</f>
        <v>45.4</v>
      </c>
      <c r="O153">
        <f>_xlfn.XLOOKUP(Table1[[#This Row],[OrderID]],'Courier company invoice'!B:B,'Courier company invoice'!H:H)</f>
        <v>90.2</v>
      </c>
      <c r="P153" s="1">
        <f>Table1[[#This Row],[Billing Amount]]-Table1[[#This Row],[Expected charges]]</f>
        <v>44.800000000000004</v>
      </c>
      <c r="Q153" s="1" t="str" cm="1">
        <f t="array" ref="Q15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54" spans="1:17" x14ac:dyDescent="0.3">
      <c r="A154" s="3" t="s">
        <v>49</v>
      </c>
      <c r="B154" s="2">
        <f>Table1[[#This Row],[Order ID]]*1</f>
        <v>2001810104</v>
      </c>
      <c r="C154" s="2">
        <v>8904223819468</v>
      </c>
      <c r="D154">
        <v>1</v>
      </c>
      <c r="E154">
        <f>_xlfn.XLOOKUP(Table1[[#This Row],[SKU (Product Code)]],'SKU Master'!A:A,'SKU Master'!B:B)</f>
        <v>240</v>
      </c>
      <c r="F154">
        <f>Table1[[#This Row],[Product weight]]*Table1[[#This Row],[Order Qty]]</f>
        <v>240</v>
      </c>
      <c r="G154">
        <f>Table1[[#This Row],[Weight per order (g)]]/1000</f>
        <v>0.24</v>
      </c>
      <c r="H154" s="1">
        <f>CEILING(Table1[[#This Row],[Weight per order (Kg)]],0.5)</f>
        <v>0.5</v>
      </c>
      <c r="I154" t="str">
        <f>_xlfn.XLOOKUP(Table1[[#This Row],[OrderID]],'Courier company invoice'!B:B,'Courier company invoice'!F:F)</f>
        <v>d</v>
      </c>
      <c r="J154" s="1" t="str">
        <f>_xlfn.XLOOKUP(Table1[[#This Row],[OrderID]],Table2[Order ID],Table2[Type of Shipment],"Not Found")</f>
        <v>Forward charges</v>
      </c>
      <c r="K154">
        <f>INDEX(Sheet1[],1,MATCH("fwd_"&amp;Table1[[#This Row],[Zone]]&amp;"_fixed",Sheet1[#Headers],0))</f>
        <v>45.4</v>
      </c>
      <c r="L154">
        <f>INDEX(Sheet1[],1,MATCH("fwd_"&amp;Table1[[#This Row],[Zone]]&amp;"_additional",Sheet1[#Headers],0))</f>
        <v>44.8</v>
      </c>
      <c r="M154" s="1">
        <f>(Table1[[#This Row],[Weight slab]]-0.5)/0.5</f>
        <v>0</v>
      </c>
      <c r="N154" s="1">
        <f>Table1[[#This Row],[Fixed_Charges]]+Table1[[#This Row],[No_of_Extra_slabs]]*Table1[[#This Row],[Additional_Charges]]</f>
        <v>45.4</v>
      </c>
      <c r="O154">
        <f>_xlfn.XLOOKUP(Table1[[#This Row],[OrderID]],'Courier company invoice'!B:B,'Courier company invoice'!H:H)</f>
        <v>90.2</v>
      </c>
      <c r="P154" s="1">
        <f>Table1[[#This Row],[Billing Amount]]-Table1[[#This Row],[Expected charges]]</f>
        <v>44.800000000000004</v>
      </c>
      <c r="Q154" s="1" t="str" cm="1">
        <f t="array" ref="Q15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55" spans="1:17" x14ac:dyDescent="0.3">
      <c r="A155" s="3" t="s">
        <v>50</v>
      </c>
      <c r="B155" s="2">
        <f>Table1[[#This Row],[Order ID]]*1</f>
        <v>2001809934</v>
      </c>
      <c r="C155" s="2">
        <v>8904223818850</v>
      </c>
      <c r="D155">
        <v>1</v>
      </c>
      <c r="E155">
        <f>_xlfn.XLOOKUP(Table1[[#This Row],[SKU (Product Code)]],'SKU Master'!A:A,'SKU Master'!B:B)</f>
        <v>240</v>
      </c>
      <c r="F155">
        <f>Table1[[#This Row],[Product weight]]*Table1[[#This Row],[Order Qty]]</f>
        <v>240</v>
      </c>
      <c r="G155">
        <f>Table1[[#This Row],[Weight per order (g)]]/1000</f>
        <v>0.24</v>
      </c>
      <c r="H155" s="1">
        <f>CEILING(Table1[[#This Row],[Weight per order (Kg)]],0.5)</f>
        <v>0.5</v>
      </c>
      <c r="I155" t="str">
        <f>_xlfn.XLOOKUP(Table1[[#This Row],[OrderID]],'Courier company invoice'!B:B,'Courier company invoice'!F:F)</f>
        <v>d</v>
      </c>
      <c r="J155" s="1" t="str">
        <f>_xlfn.XLOOKUP(Table1[[#This Row],[OrderID]],Table2[Order ID],Table2[Type of Shipment],"Not Found")</f>
        <v>Forward charges</v>
      </c>
      <c r="K155">
        <f>INDEX(Sheet1[],1,MATCH("fwd_"&amp;Table1[[#This Row],[Zone]]&amp;"_fixed",Sheet1[#Headers],0))</f>
        <v>45.4</v>
      </c>
      <c r="L155">
        <f>INDEX(Sheet1[],1,MATCH("fwd_"&amp;Table1[[#This Row],[Zone]]&amp;"_additional",Sheet1[#Headers],0))</f>
        <v>44.8</v>
      </c>
      <c r="M155" s="1">
        <f>(Table1[[#This Row],[Weight slab]]-0.5)/0.5</f>
        <v>0</v>
      </c>
      <c r="N155" s="1">
        <f>Table1[[#This Row],[Fixed_Charges]]+Table1[[#This Row],[No_of_Extra_slabs]]*Table1[[#This Row],[Additional_Charges]]</f>
        <v>45.4</v>
      </c>
      <c r="O155">
        <f>_xlfn.XLOOKUP(Table1[[#This Row],[OrderID]],'Courier company invoice'!B:B,'Courier company invoice'!H:H)</f>
        <v>90.2</v>
      </c>
      <c r="P155" s="1">
        <f>Table1[[#This Row],[Billing Amount]]-Table1[[#This Row],[Expected charges]]</f>
        <v>44.800000000000004</v>
      </c>
      <c r="Q155" s="1" t="str" cm="1">
        <f t="array" ref="Q15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56" spans="1:17" x14ac:dyDescent="0.3">
      <c r="A156" s="3" t="s">
        <v>50</v>
      </c>
      <c r="B156" s="2">
        <f>Table1[[#This Row],[Order ID]]*1</f>
        <v>2001809934</v>
      </c>
      <c r="C156" s="2">
        <v>8904223818683</v>
      </c>
      <c r="D156">
        <v>1</v>
      </c>
      <c r="E156">
        <f>_xlfn.XLOOKUP(Table1[[#This Row],[SKU (Product Code)]],'SKU Master'!A:A,'SKU Master'!B:B)</f>
        <v>121</v>
      </c>
      <c r="F156">
        <f>Table1[[#This Row],[Product weight]]*Table1[[#This Row],[Order Qty]]</f>
        <v>121</v>
      </c>
      <c r="G156">
        <f>Table1[[#This Row],[Weight per order (g)]]/1000</f>
        <v>0.121</v>
      </c>
      <c r="H156" s="1">
        <f>CEILING(Table1[[#This Row],[Weight per order (Kg)]],0.5)</f>
        <v>0.5</v>
      </c>
      <c r="I156" t="str">
        <f>_xlfn.XLOOKUP(Table1[[#This Row],[OrderID]],'Courier company invoice'!B:B,'Courier company invoice'!F:F)</f>
        <v>d</v>
      </c>
      <c r="J156" s="1" t="str">
        <f>_xlfn.XLOOKUP(Table1[[#This Row],[OrderID]],Table2[Order ID],Table2[Type of Shipment],"Not Found")</f>
        <v>Forward charges</v>
      </c>
      <c r="K156">
        <f>INDEX(Sheet1[],1,MATCH("fwd_"&amp;Table1[[#This Row],[Zone]]&amp;"_fixed",Sheet1[#Headers],0))</f>
        <v>45.4</v>
      </c>
      <c r="L156">
        <f>INDEX(Sheet1[],1,MATCH("fwd_"&amp;Table1[[#This Row],[Zone]]&amp;"_additional",Sheet1[#Headers],0))</f>
        <v>44.8</v>
      </c>
      <c r="M156" s="1">
        <f>(Table1[[#This Row],[Weight slab]]-0.5)/0.5</f>
        <v>0</v>
      </c>
      <c r="N156" s="1">
        <f>Table1[[#This Row],[Fixed_Charges]]+Table1[[#This Row],[No_of_Extra_slabs]]*Table1[[#This Row],[Additional_Charges]]</f>
        <v>45.4</v>
      </c>
      <c r="O156">
        <f>_xlfn.XLOOKUP(Table1[[#This Row],[OrderID]],'Courier company invoice'!B:B,'Courier company invoice'!H:H)</f>
        <v>90.2</v>
      </c>
      <c r="P156" s="1">
        <f>Table1[[#This Row],[Billing Amount]]-Table1[[#This Row],[Expected charges]]</f>
        <v>44.800000000000004</v>
      </c>
      <c r="Q156" s="1" t="str" cm="1">
        <f t="array" ref="Q15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57" spans="1:17" x14ac:dyDescent="0.3">
      <c r="A157" s="3" t="s">
        <v>51</v>
      </c>
      <c r="B157" s="2">
        <f>Table1[[#This Row],[Order ID]]*1</f>
        <v>2001809917</v>
      </c>
      <c r="C157" s="2">
        <v>8904223819499</v>
      </c>
      <c r="D157">
        <v>1</v>
      </c>
      <c r="E157">
        <f>_xlfn.XLOOKUP(Table1[[#This Row],[SKU (Product Code)]],'SKU Master'!A:A,'SKU Master'!B:B)</f>
        <v>210</v>
      </c>
      <c r="F157">
        <f>Table1[[#This Row],[Product weight]]*Table1[[#This Row],[Order Qty]]</f>
        <v>210</v>
      </c>
      <c r="G157">
        <f>Table1[[#This Row],[Weight per order (g)]]/1000</f>
        <v>0.21</v>
      </c>
      <c r="H157" s="1">
        <f>CEILING(Table1[[#This Row],[Weight per order (Kg)]],0.5)</f>
        <v>0.5</v>
      </c>
      <c r="I157" t="str">
        <f>_xlfn.XLOOKUP(Table1[[#This Row],[OrderID]],'Courier company invoice'!B:B,'Courier company invoice'!F:F)</f>
        <v>d</v>
      </c>
      <c r="J157" s="1" t="str">
        <f>_xlfn.XLOOKUP(Table1[[#This Row],[OrderID]],Table2[Order ID],Table2[Type of Shipment],"Not Found")</f>
        <v>Forward and RTO charges</v>
      </c>
      <c r="K157">
        <f>INDEX(Sheet1[],1,MATCH("fwd_"&amp;Table1[[#This Row],[Zone]]&amp;"_fixed",Sheet1[#Headers],0))</f>
        <v>45.4</v>
      </c>
      <c r="L157">
        <f>INDEX(Sheet1[],1,MATCH("fwd_"&amp;Table1[[#This Row],[Zone]]&amp;"_additional",Sheet1[#Headers],0))</f>
        <v>44.8</v>
      </c>
      <c r="M157" s="1">
        <f>(Table1[[#This Row],[Weight slab]]-0.5)/0.5</f>
        <v>0</v>
      </c>
      <c r="N157" s="1">
        <f>Table1[[#This Row],[Fixed_Charges]]+Table1[[#This Row],[No_of_Extra_slabs]]*Table1[[#This Row],[Additional_Charges]]</f>
        <v>45.4</v>
      </c>
      <c r="O157">
        <f>_xlfn.XLOOKUP(Table1[[#This Row],[OrderID]],'Courier company invoice'!B:B,'Courier company invoice'!H:H)</f>
        <v>172.8</v>
      </c>
      <c r="P157" s="1">
        <f>Table1[[#This Row],[Billing Amount]]-Table1[[#This Row],[Expected charges]]</f>
        <v>127.4</v>
      </c>
      <c r="Q157" s="1" t="str" cm="1">
        <f t="array" ref="Q15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58" spans="1:17" x14ac:dyDescent="0.3">
      <c r="A158" s="3" t="s">
        <v>51</v>
      </c>
      <c r="B158" s="2">
        <f>Table1[[#This Row],[Order ID]]*1</f>
        <v>2001809917</v>
      </c>
      <c r="C158" s="2">
        <v>8904223819505</v>
      </c>
      <c r="D158">
        <v>1</v>
      </c>
      <c r="E158">
        <f>_xlfn.XLOOKUP(Table1[[#This Row],[SKU (Product Code)]],'SKU Master'!A:A,'SKU Master'!B:B)</f>
        <v>210</v>
      </c>
      <c r="F158">
        <f>Table1[[#This Row],[Product weight]]*Table1[[#This Row],[Order Qty]]</f>
        <v>210</v>
      </c>
      <c r="G158">
        <f>Table1[[#This Row],[Weight per order (g)]]/1000</f>
        <v>0.21</v>
      </c>
      <c r="H158" s="1">
        <f>CEILING(Table1[[#This Row],[Weight per order (Kg)]],0.5)</f>
        <v>0.5</v>
      </c>
      <c r="I158" t="str">
        <f>_xlfn.XLOOKUP(Table1[[#This Row],[OrderID]],'Courier company invoice'!B:B,'Courier company invoice'!F:F)</f>
        <v>d</v>
      </c>
      <c r="J158" s="1" t="str">
        <f>_xlfn.XLOOKUP(Table1[[#This Row],[OrderID]],Table2[Order ID],Table2[Type of Shipment],"Not Found")</f>
        <v>Forward and RTO charges</v>
      </c>
      <c r="K158">
        <f>INDEX(Sheet1[],1,MATCH("fwd_"&amp;Table1[[#This Row],[Zone]]&amp;"_fixed",Sheet1[#Headers],0))</f>
        <v>45.4</v>
      </c>
      <c r="L158">
        <f>INDEX(Sheet1[],1,MATCH("fwd_"&amp;Table1[[#This Row],[Zone]]&amp;"_additional",Sheet1[#Headers],0))</f>
        <v>44.8</v>
      </c>
      <c r="M158" s="1">
        <f>(Table1[[#This Row],[Weight slab]]-0.5)/0.5</f>
        <v>0</v>
      </c>
      <c r="N158" s="1">
        <f>Table1[[#This Row],[Fixed_Charges]]+Table1[[#This Row],[No_of_Extra_slabs]]*Table1[[#This Row],[Additional_Charges]]</f>
        <v>45.4</v>
      </c>
      <c r="O158">
        <f>_xlfn.XLOOKUP(Table1[[#This Row],[OrderID]],'Courier company invoice'!B:B,'Courier company invoice'!H:H)</f>
        <v>172.8</v>
      </c>
      <c r="P158" s="1">
        <f>Table1[[#This Row],[Billing Amount]]-Table1[[#This Row],[Expected charges]]</f>
        <v>127.4</v>
      </c>
      <c r="Q158" s="1" t="str" cm="1">
        <f t="array" ref="Q15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59" spans="1:17" x14ac:dyDescent="0.3">
      <c r="A159" s="3" t="s">
        <v>51</v>
      </c>
      <c r="B159" s="2">
        <f>Table1[[#This Row],[Order ID]]*1</f>
        <v>2001809917</v>
      </c>
      <c r="C159" s="2">
        <v>8904223819512</v>
      </c>
      <c r="D159">
        <v>1</v>
      </c>
      <c r="E159">
        <f>_xlfn.XLOOKUP(Table1[[#This Row],[SKU (Product Code)]],'SKU Master'!A:A,'SKU Master'!B:B)</f>
        <v>210</v>
      </c>
      <c r="F159">
        <f>Table1[[#This Row],[Product weight]]*Table1[[#This Row],[Order Qty]]</f>
        <v>210</v>
      </c>
      <c r="G159">
        <f>Table1[[#This Row],[Weight per order (g)]]/1000</f>
        <v>0.21</v>
      </c>
      <c r="H159" s="1">
        <f>CEILING(Table1[[#This Row],[Weight per order (Kg)]],0.5)</f>
        <v>0.5</v>
      </c>
      <c r="I159" t="str">
        <f>_xlfn.XLOOKUP(Table1[[#This Row],[OrderID]],'Courier company invoice'!B:B,'Courier company invoice'!F:F)</f>
        <v>d</v>
      </c>
      <c r="J159" s="1" t="str">
        <f>_xlfn.XLOOKUP(Table1[[#This Row],[OrderID]],Table2[Order ID],Table2[Type of Shipment],"Not Found")</f>
        <v>Forward and RTO charges</v>
      </c>
      <c r="K159">
        <f>INDEX(Sheet1[],1,MATCH("fwd_"&amp;Table1[[#This Row],[Zone]]&amp;"_fixed",Sheet1[#Headers],0))</f>
        <v>45.4</v>
      </c>
      <c r="L159">
        <f>INDEX(Sheet1[],1,MATCH("fwd_"&amp;Table1[[#This Row],[Zone]]&amp;"_additional",Sheet1[#Headers],0))</f>
        <v>44.8</v>
      </c>
      <c r="M159" s="1">
        <f>(Table1[[#This Row],[Weight slab]]-0.5)/0.5</f>
        <v>0</v>
      </c>
      <c r="N159" s="1">
        <f>Table1[[#This Row],[Fixed_Charges]]+Table1[[#This Row],[No_of_Extra_slabs]]*Table1[[#This Row],[Additional_Charges]]</f>
        <v>45.4</v>
      </c>
      <c r="O159">
        <f>_xlfn.XLOOKUP(Table1[[#This Row],[OrderID]],'Courier company invoice'!B:B,'Courier company invoice'!H:H)</f>
        <v>172.8</v>
      </c>
      <c r="P159" s="1">
        <f>Table1[[#This Row],[Billing Amount]]-Table1[[#This Row],[Expected charges]]</f>
        <v>127.4</v>
      </c>
      <c r="Q159" s="1" t="str" cm="1">
        <f t="array" ref="Q15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60" spans="1:17" x14ac:dyDescent="0.3">
      <c r="A160" s="3" t="s">
        <v>52</v>
      </c>
      <c r="B160" s="2">
        <f>Table1[[#This Row],[Order ID]]*1</f>
        <v>2001809820</v>
      </c>
      <c r="C160" s="2">
        <v>8904223819277</v>
      </c>
      <c r="D160">
        <v>1</v>
      </c>
      <c r="E160">
        <f>_xlfn.XLOOKUP(Table1[[#This Row],[SKU (Product Code)]],'SKU Master'!A:A,'SKU Master'!B:B)</f>
        <v>350</v>
      </c>
      <c r="F160">
        <f>Table1[[#This Row],[Product weight]]*Table1[[#This Row],[Order Qty]]</f>
        <v>350</v>
      </c>
      <c r="G160">
        <f>Table1[[#This Row],[Weight per order (g)]]/1000</f>
        <v>0.35</v>
      </c>
      <c r="H160" s="1">
        <f>CEILING(Table1[[#This Row],[Weight per order (Kg)]],0.5)</f>
        <v>0.5</v>
      </c>
      <c r="I160" t="str">
        <f>_xlfn.XLOOKUP(Table1[[#This Row],[OrderID]],'Courier company invoice'!B:B,'Courier company invoice'!F:F)</f>
        <v>d</v>
      </c>
      <c r="J160" s="1" t="str">
        <f>_xlfn.XLOOKUP(Table1[[#This Row],[OrderID]],Table2[Order ID],Table2[Type of Shipment],"Not Found")</f>
        <v>Forward charges</v>
      </c>
      <c r="K160">
        <f>INDEX(Sheet1[],1,MATCH("fwd_"&amp;Table1[[#This Row],[Zone]]&amp;"_fixed",Sheet1[#Headers],0))</f>
        <v>45.4</v>
      </c>
      <c r="L160">
        <f>INDEX(Sheet1[],1,MATCH("fwd_"&amp;Table1[[#This Row],[Zone]]&amp;"_additional",Sheet1[#Headers],0))</f>
        <v>44.8</v>
      </c>
      <c r="M160" s="1">
        <f>(Table1[[#This Row],[Weight slab]]-0.5)/0.5</f>
        <v>0</v>
      </c>
      <c r="N160" s="1">
        <f>Table1[[#This Row],[Fixed_Charges]]+Table1[[#This Row],[No_of_Extra_slabs]]*Table1[[#This Row],[Additional_Charges]]</f>
        <v>45.4</v>
      </c>
      <c r="O160">
        <f>_xlfn.XLOOKUP(Table1[[#This Row],[OrderID]],'Courier company invoice'!B:B,'Courier company invoice'!H:H)</f>
        <v>269.39999999999998</v>
      </c>
      <c r="P160" s="1">
        <f>Table1[[#This Row],[Billing Amount]]-Table1[[#This Row],[Expected charges]]</f>
        <v>223.99999999999997</v>
      </c>
      <c r="Q160" s="1" t="str" cm="1">
        <f t="array" ref="Q16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61" spans="1:17" x14ac:dyDescent="0.3">
      <c r="A161" s="3" t="s">
        <v>52</v>
      </c>
      <c r="B161" s="2">
        <f>Table1[[#This Row],[Order ID]]*1</f>
        <v>2001809820</v>
      </c>
      <c r="C161" s="2">
        <v>8904223818478</v>
      </c>
      <c r="D161">
        <v>1</v>
      </c>
      <c r="E161">
        <f>_xlfn.XLOOKUP(Table1[[#This Row],[SKU (Product Code)]],'SKU Master'!A:A,'SKU Master'!B:B)</f>
        <v>350</v>
      </c>
      <c r="F161">
        <f>Table1[[#This Row],[Product weight]]*Table1[[#This Row],[Order Qty]]</f>
        <v>350</v>
      </c>
      <c r="G161">
        <f>Table1[[#This Row],[Weight per order (g)]]/1000</f>
        <v>0.35</v>
      </c>
      <c r="H161" s="1">
        <f>CEILING(Table1[[#This Row],[Weight per order (Kg)]],0.5)</f>
        <v>0.5</v>
      </c>
      <c r="I161" t="str">
        <f>_xlfn.XLOOKUP(Table1[[#This Row],[OrderID]],'Courier company invoice'!B:B,'Courier company invoice'!F:F)</f>
        <v>d</v>
      </c>
      <c r="J161" s="1" t="str">
        <f>_xlfn.XLOOKUP(Table1[[#This Row],[OrderID]],Table2[Order ID],Table2[Type of Shipment],"Not Found")</f>
        <v>Forward charges</v>
      </c>
      <c r="K161">
        <f>INDEX(Sheet1[],1,MATCH("fwd_"&amp;Table1[[#This Row],[Zone]]&amp;"_fixed",Sheet1[#Headers],0))</f>
        <v>45.4</v>
      </c>
      <c r="L161">
        <f>INDEX(Sheet1[],1,MATCH("fwd_"&amp;Table1[[#This Row],[Zone]]&amp;"_additional",Sheet1[#Headers],0))</f>
        <v>44.8</v>
      </c>
      <c r="M161" s="1">
        <f>(Table1[[#This Row],[Weight slab]]-0.5)/0.5</f>
        <v>0</v>
      </c>
      <c r="N161" s="1">
        <f>Table1[[#This Row],[Fixed_Charges]]+Table1[[#This Row],[No_of_Extra_slabs]]*Table1[[#This Row],[Additional_Charges]]</f>
        <v>45.4</v>
      </c>
      <c r="O161">
        <f>_xlfn.XLOOKUP(Table1[[#This Row],[OrderID]],'Courier company invoice'!B:B,'Courier company invoice'!H:H)</f>
        <v>269.39999999999998</v>
      </c>
      <c r="P161" s="1">
        <f>Table1[[#This Row],[Billing Amount]]-Table1[[#This Row],[Expected charges]]</f>
        <v>223.99999999999997</v>
      </c>
      <c r="Q161" s="1" t="str" cm="1">
        <f t="array" ref="Q16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62" spans="1:17" x14ac:dyDescent="0.3">
      <c r="A162" s="3" t="s">
        <v>52</v>
      </c>
      <c r="B162" s="2">
        <f>Table1[[#This Row],[Order ID]]*1</f>
        <v>2001809820</v>
      </c>
      <c r="C162" s="2">
        <v>8904223819284</v>
      </c>
      <c r="D162">
        <v>1</v>
      </c>
      <c r="E162">
        <f>_xlfn.XLOOKUP(Table1[[#This Row],[SKU (Product Code)]],'SKU Master'!A:A,'SKU Master'!B:B)</f>
        <v>350</v>
      </c>
      <c r="F162">
        <f>Table1[[#This Row],[Product weight]]*Table1[[#This Row],[Order Qty]]</f>
        <v>350</v>
      </c>
      <c r="G162">
        <f>Table1[[#This Row],[Weight per order (g)]]/1000</f>
        <v>0.35</v>
      </c>
      <c r="H162" s="1">
        <f>CEILING(Table1[[#This Row],[Weight per order (Kg)]],0.5)</f>
        <v>0.5</v>
      </c>
      <c r="I162" t="str">
        <f>_xlfn.XLOOKUP(Table1[[#This Row],[OrderID]],'Courier company invoice'!B:B,'Courier company invoice'!F:F)</f>
        <v>d</v>
      </c>
      <c r="J162" s="1" t="str">
        <f>_xlfn.XLOOKUP(Table1[[#This Row],[OrderID]],Table2[Order ID],Table2[Type of Shipment],"Not Found")</f>
        <v>Forward charges</v>
      </c>
      <c r="K162">
        <f>INDEX(Sheet1[],1,MATCH("fwd_"&amp;Table1[[#This Row],[Zone]]&amp;"_fixed",Sheet1[#Headers],0))</f>
        <v>45.4</v>
      </c>
      <c r="L162">
        <f>INDEX(Sheet1[],1,MATCH("fwd_"&amp;Table1[[#This Row],[Zone]]&amp;"_additional",Sheet1[#Headers],0))</f>
        <v>44.8</v>
      </c>
      <c r="M162" s="1">
        <f>(Table1[[#This Row],[Weight slab]]-0.5)/0.5</f>
        <v>0</v>
      </c>
      <c r="N162" s="1">
        <f>Table1[[#This Row],[Fixed_Charges]]+Table1[[#This Row],[No_of_Extra_slabs]]*Table1[[#This Row],[Additional_Charges]]</f>
        <v>45.4</v>
      </c>
      <c r="O162">
        <f>_xlfn.XLOOKUP(Table1[[#This Row],[OrderID]],'Courier company invoice'!B:B,'Courier company invoice'!H:H)</f>
        <v>269.39999999999998</v>
      </c>
      <c r="P162" s="1">
        <f>Table1[[#This Row],[Billing Amount]]-Table1[[#This Row],[Expected charges]]</f>
        <v>223.99999999999997</v>
      </c>
      <c r="Q162" s="1" t="str" cm="1">
        <f t="array" ref="Q16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63" spans="1:17" x14ac:dyDescent="0.3">
      <c r="A163" s="3" t="s">
        <v>52</v>
      </c>
      <c r="B163" s="2">
        <f>Table1[[#This Row],[Order ID]]*1</f>
        <v>2001809820</v>
      </c>
      <c r="C163" s="2">
        <v>8904223819130</v>
      </c>
      <c r="D163">
        <v>1</v>
      </c>
      <c r="E163">
        <f>_xlfn.XLOOKUP(Table1[[#This Row],[SKU (Product Code)]],'SKU Master'!A:A,'SKU Master'!B:B)</f>
        <v>350</v>
      </c>
      <c r="F163">
        <f>Table1[[#This Row],[Product weight]]*Table1[[#This Row],[Order Qty]]</f>
        <v>350</v>
      </c>
      <c r="G163">
        <f>Table1[[#This Row],[Weight per order (g)]]/1000</f>
        <v>0.35</v>
      </c>
      <c r="H163" s="1">
        <f>CEILING(Table1[[#This Row],[Weight per order (Kg)]],0.5)</f>
        <v>0.5</v>
      </c>
      <c r="I163" t="str">
        <f>_xlfn.XLOOKUP(Table1[[#This Row],[OrderID]],'Courier company invoice'!B:B,'Courier company invoice'!F:F)</f>
        <v>d</v>
      </c>
      <c r="J163" s="1" t="str">
        <f>_xlfn.XLOOKUP(Table1[[#This Row],[OrderID]],Table2[Order ID],Table2[Type of Shipment],"Not Found")</f>
        <v>Forward charges</v>
      </c>
      <c r="K163">
        <f>INDEX(Sheet1[],1,MATCH("fwd_"&amp;Table1[[#This Row],[Zone]]&amp;"_fixed",Sheet1[#Headers],0))</f>
        <v>45.4</v>
      </c>
      <c r="L163">
        <f>INDEX(Sheet1[],1,MATCH("fwd_"&amp;Table1[[#This Row],[Zone]]&amp;"_additional",Sheet1[#Headers],0))</f>
        <v>44.8</v>
      </c>
      <c r="M163" s="1">
        <f>(Table1[[#This Row],[Weight slab]]-0.5)/0.5</f>
        <v>0</v>
      </c>
      <c r="N163" s="1">
        <f>Table1[[#This Row],[Fixed_Charges]]+Table1[[#This Row],[No_of_Extra_slabs]]*Table1[[#This Row],[Additional_Charges]]</f>
        <v>45.4</v>
      </c>
      <c r="O163">
        <f>_xlfn.XLOOKUP(Table1[[#This Row],[OrderID]],'Courier company invoice'!B:B,'Courier company invoice'!H:H)</f>
        <v>269.39999999999998</v>
      </c>
      <c r="P163" s="1">
        <f>Table1[[#This Row],[Billing Amount]]-Table1[[#This Row],[Expected charges]]</f>
        <v>223.99999999999997</v>
      </c>
      <c r="Q163" s="1" t="str" cm="1">
        <f t="array" ref="Q16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64" spans="1:17" x14ac:dyDescent="0.3">
      <c r="A164" s="3" t="s">
        <v>52</v>
      </c>
      <c r="B164" s="2">
        <f>Table1[[#This Row],[Order ID]]*1</f>
        <v>2001809820</v>
      </c>
      <c r="C164" s="2">
        <v>8904223819031</v>
      </c>
      <c r="D164">
        <v>2</v>
      </c>
      <c r="E164">
        <f>_xlfn.XLOOKUP(Table1[[#This Row],[SKU (Product Code)]],'SKU Master'!A:A,'SKU Master'!B:B)</f>
        <v>112</v>
      </c>
      <c r="F164">
        <f>Table1[[#This Row],[Product weight]]*Table1[[#This Row],[Order Qty]]</f>
        <v>224</v>
      </c>
      <c r="G164">
        <f>Table1[[#This Row],[Weight per order (g)]]/1000</f>
        <v>0.224</v>
      </c>
      <c r="H164" s="1">
        <f>CEILING(Table1[[#This Row],[Weight per order (Kg)]],0.5)</f>
        <v>0.5</v>
      </c>
      <c r="I164" t="str">
        <f>_xlfn.XLOOKUP(Table1[[#This Row],[OrderID]],'Courier company invoice'!B:B,'Courier company invoice'!F:F)</f>
        <v>d</v>
      </c>
      <c r="J164" s="1" t="str">
        <f>_xlfn.XLOOKUP(Table1[[#This Row],[OrderID]],Table2[Order ID],Table2[Type of Shipment],"Not Found")</f>
        <v>Forward charges</v>
      </c>
      <c r="K164">
        <f>INDEX(Sheet1[],1,MATCH("fwd_"&amp;Table1[[#This Row],[Zone]]&amp;"_fixed",Sheet1[#Headers],0))</f>
        <v>45.4</v>
      </c>
      <c r="L164">
        <f>INDEX(Sheet1[],1,MATCH("fwd_"&amp;Table1[[#This Row],[Zone]]&amp;"_additional",Sheet1[#Headers],0))</f>
        <v>44.8</v>
      </c>
      <c r="M164" s="1">
        <f>(Table1[[#This Row],[Weight slab]]-0.5)/0.5</f>
        <v>0</v>
      </c>
      <c r="N164" s="1">
        <f>Table1[[#This Row],[Fixed_Charges]]+Table1[[#This Row],[No_of_Extra_slabs]]*Table1[[#This Row],[Additional_Charges]]</f>
        <v>45.4</v>
      </c>
      <c r="O164">
        <f>_xlfn.XLOOKUP(Table1[[#This Row],[OrderID]],'Courier company invoice'!B:B,'Courier company invoice'!H:H)</f>
        <v>269.39999999999998</v>
      </c>
      <c r="P164" s="1">
        <f>Table1[[#This Row],[Billing Amount]]-Table1[[#This Row],[Expected charges]]</f>
        <v>223.99999999999997</v>
      </c>
      <c r="Q164" s="1" t="str" cm="1">
        <f t="array" ref="Q16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65" spans="1:17" x14ac:dyDescent="0.3">
      <c r="A165" s="3" t="s">
        <v>52</v>
      </c>
      <c r="B165" s="2">
        <f>Table1[[#This Row],[Order ID]]*1</f>
        <v>2001809820</v>
      </c>
      <c r="C165" s="2">
        <v>8904223819024</v>
      </c>
      <c r="D165">
        <v>2</v>
      </c>
      <c r="E165">
        <f>_xlfn.XLOOKUP(Table1[[#This Row],[SKU (Product Code)]],'SKU Master'!A:A,'SKU Master'!B:B)</f>
        <v>112</v>
      </c>
      <c r="F165">
        <f>Table1[[#This Row],[Product weight]]*Table1[[#This Row],[Order Qty]]</f>
        <v>224</v>
      </c>
      <c r="G165">
        <f>Table1[[#This Row],[Weight per order (g)]]/1000</f>
        <v>0.224</v>
      </c>
      <c r="H165" s="1">
        <f>CEILING(Table1[[#This Row],[Weight per order (Kg)]],0.5)</f>
        <v>0.5</v>
      </c>
      <c r="I165" t="str">
        <f>_xlfn.XLOOKUP(Table1[[#This Row],[OrderID]],'Courier company invoice'!B:B,'Courier company invoice'!F:F)</f>
        <v>d</v>
      </c>
      <c r="J165" s="1" t="str">
        <f>_xlfn.XLOOKUP(Table1[[#This Row],[OrderID]],Table2[Order ID],Table2[Type of Shipment],"Not Found")</f>
        <v>Forward charges</v>
      </c>
      <c r="K165">
        <f>INDEX(Sheet1[],1,MATCH("fwd_"&amp;Table1[[#This Row],[Zone]]&amp;"_fixed",Sheet1[#Headers],0))</f>
        <v>45.4</v>
      </c>
      <c r="L165">
        <f>INDEX(Sheet1[],1,MATCH("fwd_"&amp;Table1[[#This Row],[Zone]]&amp;"_additional",Sheet1[#Headers],0))</f>
        <v>44.8</v>
      </c>
      <c r="M165" s="1">
        <f>(Table1[[#This Row],[Weight slab]]-0.5)/0.5</f>
        <v>0</v>
      </c>
      <c r="N165" s="1">
        <f>Table1[[#This Row],[Fixed_Charges]]+Table1[[#This Row],[No_of_Extra_slabs]]*Table1[[#This Row],[Additional_Charges]]</f>
        <v>45.4</v>
      </c>
      <c r="O165">
        <f>_xlfn.XLOOKUP(Table1[[#This Row],[OrderID]],'Courier company invoice'!B:B,'Courier company invoice'!H:H)</f>
        <v>269.39999999999998</v>
      </c>
      <c r="P165" s="1">
        <f>Table1[[#This Row],[Billing Amount]]-Table1[[#This Row],[Expected charges]]</f>
        <v>223.99999999999997</v>
      </c>
      <c r="Q165" s="1" t="str" cm="1">
        <f t="array" ref="Q16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66" spans="1:17" x14ac:dyDescent="0.3">
      <c r="A166" s="3" t="s">
        <v>52</v>
      </c>
      <c r="B166" s="2">
        <f>Table1[[#This Row],[Order ID]]*1</f>
        <v>2001809820</v>
      </c>
      <c r="C166" s="2">
        <v>8904223816214</v>
      </c>
      <c r="D166">
        <v>1</v>
      </c>
      <c r="E166">
        <f>_xlfn.XLOOKUP(Table1[[#This Row],[SKU (Product Code)]],'SKU Master'!A:A,'SKU Master'!B:B)</f>
        <v>120</v>
      </c>
      <c r="F166">
        <f>Table1[[#This Row],[Product weight]]*Table1[[#This Row],[Order Qty]]</f>
        <v>120</v>
      </c>
      <c r="G166">
        <f>Table1[[#This Row],[Weight per order (g)]]/1000</f>
        <v>0.12</v>
      </c>
      <c r="H166" s="1">
        <f>CEILING(Table1[[#This Row],[Weight per order (Kg)]],0.5)</f>
        <v>0.5</v>
      </c>
      <c r="I166" t="str">
        <f>_xlfn.XLOOKUP(Table1[[#This Row],[OrderID]],'Courier company invoice'!B:B,'Courier company invoice'!F:F)</f>
        <v>d</v>
      </c>
      <c r="J166" s="1" t="str">
        <f>_xlfn.XLOOKUP(Table1[[#This Row],[OrderID]],Table2[Order ID],Table2[Type of Shipment],"Not Found")</f>
        <v>Forward charges</v>
      </c>
      <c r="K166">
        <f>INDEX(Sheet1[],1,MATCH("fwd_"&amp;Table1[[#This Row],[Zone]]&amp;"_fixed",Sheet1[#Headers],0))</f>
        <v>45.4</v>
      </c>
      <c r="L166">
        <f>INDEX(Sheet1[],1,MATCH("fwd_"&amp;Table1[[#This Row],[Zone]]&amp;"_additional",Sheet1[#Headers],0))</f>
        <v>44.8</v>
      </c>
      <c r="M166" s="1">
        <f>(Table1[[#This Row],[Weight slab]]-0.5)/0.5</f>
        <v>0</v>
      </c>
      <c r="N166" s="1">
        <f>Table1[[#This Row],[Fixed_Charges]]+Table1[[#This Row],[No_of_Extra_slabs]]*Table1[[#This Row],[Additional_Charges]]</f>
        <v>45.4</v>
      </c>
      <c r="O166">
        <f>_xlfn.XLOOKUP(Table1[[#This Row],[OrderID]],'Courier company invoice'!B:B,'Courier company invoice'!H:H)</f>
        <v>269.39999999999998</v>
      </c>
      <c r="P166" s="1">
        <f>Table1[[#This Row],[Billing Amount]]-Table1[[#This Row],[Expected charges]]</f>
        <v>223.99999999999997</v>
      </c>
      <c r="Q166" s="1" t="str" cm="1">
        <f t="array" ref="Q16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67" spans="1:17" x14ac:dyDescent="0.3">
      <c r="A167" s="3" t="s">
        <v>52</v>
      </c>
      <c r="B167" s="2">
        <f>Table1[[#This Row],[Order ID]]*1</f>
        <v>2001809820</v>
      </c>
      <c r="C167" s="2">
        <v>8904223818874</v>
      </c>
      <c r="D167">
        <v>1</v>
      </c>
      <c r="E167">
        <f>_xlfn.XLOOKUP(Table1[[#This Row],[SKU (Product Code)]],'SKU Master'!A:A,'SKU Master'!B:B)</f>
        <v>100</v>
      </c>
      <c r="F167">
        <f>Table1[[#This Row],[Product weight]]*Table1[[#This Row],[Order Qty]]</f>
        <v>100</v>
      </c>
      <c r="G167">
        <f>Table1[[#This Row],[Weight per order (g)]]/1000</f>
        <v>0.1</v>
      </c>
      <c r="H167" s="1">
        <f>CEILING(Table1[[#This Row],[Weight per order (Kg)]],0.5)</f>
        <v>0.5</v>
      </c>
      <c r="I167" t="str">
        <f>_xlfn.XLOOKUP(Table1[[#This Row],[OrderID]],'Courier company invoice'!B:B,'Courier company invoice'!F:F)</f>
        <v>d</v>
      </c>
      <c r="J167" s="1" t="str">
        <f>_xlfn.XLOOKUP(Table1[[#This Row],[OrderID]],Table2[Order ID],Table2[Type of Shipment],"Not Found")</f>
        <v>Forward charges</v>
      </c>
      <c r="K167">
        <f>INDEX(Sheet1[],1,MATCH("fwd_"&amp;Table1[[#This Row],[Zone]]&amp;"_fixed",Sheet1[#Headers],0))</f>
        <v>45.4</v>
      </c>
      <c r="L167">
        <f>INDEX(Sheet1[],1,MATCH("fwd_"&amp;Table1[[#This Row],[Zone]]&amp;"_additional",Sheet1[#Headers],0))</f>
        <v>44.8</v>
      </c>
      <c r="M167" s="1">
        <f>(Table1[[#This Row],[Weight slab]]-0.5)/0.5</f>
        <v>0</v>
      </c>
      <c r="N167" s="1">
        <f>Table1[[#This Row],[Fixed_Charges]]+Table1[[#This Row],[No_of_Extra_slabs]]*Table1[[#This Row],[Additional_Charges]]</f>
        <v>45.4</v>
      </c>
      <c r="O167">
        <f>_xlfn.XLOOKUP(Table1[[#This Row],[OrderID]],'Courier company invoice'!B:B,'Courier company invoice'!H:H)</f>
        <v>269.39999999999998</v>
      </c>
      <c r="P167" s="1">
        <f>Table1[[#This Row],[Billing Amount]]-Table1[[#This Row],[Expected charges]]</f>
        <v>223.99999999999997</v>
      </c>
      <c r="Q167" s="1" t="str" cm="1">
        <f t="array" ref="Q16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68" spans="1:17" x14ac:dyDescent="0.3">
      <c r="A168" s="3" t="s">
        <v>52</v>
      </c>
      <c r="B168" s="2">
        <f>Table1[[#This Row],[Order ID]]*1</f>
        <v>2001809820</v>
      </c>
      <c r="C168" s="2">
        <v>8904223818881</v>
      </c>
      <c r="D168">
        <v>1</v>
      </c>
      <c r="E168">
        <f>_xlfn.XLOOKUP(Table1[[#This Row],[SKU (Product Code)]],'SKU Master'!A:A,'SKU Master'!B:B)</f>
        <v>140</v>
      </c>
      <c r="F168">
        <f>Table1[[#This Row],[Product weight]]*Table1[[#This Row],[Order Qty]]</f>
        <v>140</v>
      </c>
      <c r="G168">
        <f>Table1[[#This Row],[Weight per order (g)]]/1000</f>
        <v>0.14000000000000001</v>
      </c>
      <c r="H168" s="1">
        <f>CEILING(Table1[[#This Row],[Weight per order (Kg)]],0.5)</f>
        <v>0.5</v>
      </c>
      <c r="I168" t="str">
        <f>_xlfn.XLOOKUP(Table1[[#This Row],[OrderID]],'Courier company invoice'!B:B,'Courier company invoice'!F:F)</f>
        <v>d</v>
      </c>
      <c r="J168" s="1" t="str">
        <f>_xlfn.XLOOKUP(Table1[[#This Row],[OrderID]],Table2[Order ID],Table2[Type of Shipment],"Not Found")</f>
        <v>Forward charges</v>
      </c>
      <c r="K168">
        <f>INDEX(Sheet1[],1,MATCH("fwd_"&amp;Table1[[#This Row],[Zone]]&amp;"_fixed",Sheet1[#Headers],0))</f>
        <v>45.4</v>
      </c>
      <c r="L168">
        <f>INDEX(Sheet1[],1,MATCH("fwd_"&amp;Table1[[#This Row],[Zone]]&amp;"_additional",Sheet1[#Headers],0))</f>
        <v>44.8</v>
      </c>
      <c r="M168" s="1">
        <f>(Table1[[#This Row],[Weight slab]]-0.5)/0.5</f>
        <v>0</v>
      </c>
      <c r="N168" s="1">
        <f>Table1[[#This Row],[Fixed_Charges]]+Table1[[#This Row],[No_of_Extra_slabs]]*Table1[[#This Row],[Additional_Charges]]</f>
        <v>45.4</v>
      </c>
      <c r="O168">
        <f>_xlfn.XLOOKUP(Table1[[#This Row],[OrderID]],'Courier company invoice'!B:B,'Courier company invoice'!H:H)</f>
        <v>269.39999999999998</v>
      </c>
      <c r="P168" s="1">
        <f>Table1[[#This Row],[Billing Amount]]-Table1[[#This Row],[Expected charges]]</f>
        <v>223.99999999999997</v>
      </c>
      <c r="Q168" s="1" t="str" cm="1">
        <f t="array" ref="Q16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69" spans="1:17" x14ac:dyDescent="0.3">
      <c r="A169" s="3" t="s">
        <v>52</v>
      </c>
      <c r="B169" s="2">
        <f>Table1[[#This Row],[Order ID]]*1</f>
        <v>2001809820</v>
      </c>
      <c r="C169" s="2">
        <v>8904223818898</v>
      </c>
      <c r="D169">
        <v>1</v>
      </c>
      <c r="E169">
        <f>_xlfn.XLOOKUP(Table1[[#This Row],[SKU (Product Code)]],'SKU Master'!A:A,'SKU Master'!B:B)</f>
        <v>140</v>
      </c>
      <c r="F169">
        <f>Table1[[#This Row],[Product weight]]*Table1[[#This Row],[Order Qty]]</f>
        <v>140</v>
      </c>
      <c r="G169">
        <f>Table1[[#This Row],[Weight per order (g)]]/1000</f>
        <v>0.14000000000000001</v>
      </c>
      <c r="H169" s="1">
        <f>CEILING(Table1[[#This Row],[Weight per order (Kg)]],0.5)</f>
        <v>0.5</v>
      </c>
      <c r="I169" t="str">
        <f>_xlfn.XLOOKUP(Table1[[#This Row],[OrderID]],'Courier company invoice'!B:B,'Courier company invoice'!F:F)</f>
        <v>d</v>
      </c>
      <c r="J169" s="1" t="str">
        <f>_xlfn.XLOOKUP(Table1[[#This Row],[OrderID]],Table2[Order ID],Table2[Type of Shipment],"Not Found")</f>
        <v>Forward charges</v>
      </c>
      <c r="K169">
        <f>INDEX(Sheet1[],1,MATCH("fwd_"&amp;Table1[[#This Row],[Zone]]&amp;"_fixed",Sheet1[#Headers],0))</f>
        <v>45.4</v>
      </c>
      <c r="L169">
        <f>INDEX(Sheet1[],1,MATCH("fwd_"&amp;Table1[[#This Row],[Zone]]&amp;"_additional",Sheet1[#Headers],0))</f>
        <v>44.8</v>
      </c>
      <c r="M169" s="1">
        <f>(Table1[[#This Row],[Weight slab]]-0.5)/0.5</f>
        <v>0</v>
      </c>
      <c r="N169" s="1">
        <f>Table1[[#This Row],[Fixed_Charges]]+Table1[[#This Row],[No_of_Extra_slabs]]*Table1[[#This Row],[Additional_Charges]]</f>
        <v>45.4</v>
      </c>
      <c r="O169">
        <f>_xlfn.XLOOKUP(Table1[[#This Row],[OrderID]],'Courier company invoice'!B:B,'Courier company invoice'!H:H)</f>
        <v>269.39999999999998</v>
      </c>
      <c r="P169" s="1">
        <f>Table1[[#This Row],[Billing Amount]]-Table1[[#This Row],[Expected charges]]</f>
        <v>223.99999999999997</v>
      </c>
      <c r="Q169" s="1" t="str" cm="1">
        <f t="array" ref="Q16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70" spans="1:17" x14ac:dyDescent="0.3">
      <c r="A170" s="3" t="s">
        <v>52</v>
      </c>
      <c r="B170" s="2">
        <f>Table1[[#This Row],[Order ID]]*1</f>
        <v>2001809820</v>
      </c>
      <c r="C170" s="2">
        <v>8904223818706</v>
      </c>
      <c r="D170">
        <v>1</v>
      </c>
      <c r="E170">
        <f>_xlfn.XLOOKUP(Table1[[#This Row],[SKU (Product Code)]],'SKU Master'!A:A,'SKU Master'!B:B)</f>
        <v>127</v>
      </c>
      <c r="F170">
        <f>Table1[[#This Row],[Product weight]]*Table1[[#This Row],[Order Qty]]</f>
        <v>127</v>
      </c>
      <c r="G170">
        <f>Table1[[#This Row],[Weight per order (g)]]/1000</f>
        <v>0.127</v>
      </c>
      <c r="H170" s="1">
        <f>CEILING(Table1[[#This Row],[Weight per order (Kg)]],0.5)</f>
        <v>0.5</v>
      </c>
      <c r="I170" t="str">
        <f>_xlfn.XLOOKUP(Table1[[#This Row],[OrderID]],'Courier company invoice'!B:B,'Courier company invoice'!F:F)</f>
        <v>d</v>
      </c>
      <c r="J170" s="1" t="str">
        <f>_xlfn.XLOOKUP(Table1[[#This Row],[OrderID]],Table2[Order ID],Table2[Type of Shipment],"Not Found")</f>
        <v>Forward charges</v>
      </c>
      <c r="K170">
        <f>INDEX(Sheet1[],1,MATCH("fwd_"&amp;Table1[[#This Row],[Zone]]&amp;"_fixed",Sheet1[#Headers],0))</f>
        <v>45.4</v>
      </c>
      <c r="L170">
        <f>INDEX(Sheet1[],1,MATCH("fwd_"&amp;Table1[[#This Row],[Zone]]&amp;"_additional",Sheet1[#Headers],0))</f>
        <v>44.8</v>
      </c>
      <c r="M170" s="1">
        <f>(Table1[[#This Row],[Weight slab]]-0.5)/0.5</f>
        <v>0</v>
      </c>
      <c r="N170" s="1">
        <f>Table1[[#This Row],[Fixed_Charges]]+Table1[[#This Row],[No_of_Extra_slabs]]*Table1[[#This Row],[Additional_Charges]]</f>
        <v>45.4</v>
      </c>
      <c r="O170">
        <f>_xlfn.XLOOKUP(Table1[[#This Row],[OrderID]],'Courier company invoice'!B:B,'Courier company invoice'!H:H)</f>
        <v>269.39999999999998</v>
      </c>
      <c r="P170" s="1">
        <f>Table1[[#This Row],[Billing Amount]]-Table1[[#This Row],[Expected charges]]</f>
        <v>223.99999999999997</v>
      </c>
      <c r="Q170" s="1" t="str" cm="1">
        <f t="array" ref="Q17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71" spans="1:17" x14ac:dyDescent="0.3">
      <c r="A171" s="3" t="s">
        <v>52</v>
      </c>
      <c r="B171" s="2">
        <f>Table1[[#This Row],[Order ID]]*1</f>
        <v>2001809820</v>
      </c>
      <c r="C171" s="2">
        <v>8904223818942</v>
      </c>
      <c r="D171">
        <v>1</v>
      </c>
      <c r="E171">
        <f>_xlfn.XLOOKUP(Table1[[#This Row],[SKU (Product Code)]],'SKU Master'!A:A,'SKU Master'!B:B)</f>
        <v>133</v>
      </c>
      <c r="F171">
        <f>Table1[[#This Row],[Product weight]]*Table1[[#This Row],[Order Qty]]</f>
        <v>133</v>
      </c>
      <c r="G171">
        <f>Table1[[#This Row],[Weight per order (g)]]/1000</f>
        <v>0.13300000000000001</v>
      </c>
      <c r="H171" s="1">
        <f>CEILING(Table1[[#This Row],[Weight per order (Kg)]],0.5)</f>
        <v>0.5</v>
      </c>
      <c r="I171" t="str">
        <f>_xlfn.XLOOKUP(Table1[[#This Row],[OrderID]],'Courier company invoice'!B:B,'Courier company invoice'!F:F)</f>
        <v>d</v>
      </c>
      <c r="J171" s="1" t="str">
        <f>_xlfn.XLOOKUP(Table1[[#This Row],[OrderID]],Table2[Order ID],Table2[Type of Shipment],"Not Found")</f>
        <v>Forward charges</v>
      </c>
      <c r="K171">
        <f>INDEX(Sheet1[],1,MATCH("fwd_"&amp;Table1[[#This Row],[Zone]]&amp;"_fixed",Sheet1[#Headers],0))</f>
        <v>45.4</v>
      </c>
      <c r="L171">
        <f>INDEX(Sheet1[],1,MATCH("fwd_"&amp;Table1[[#This Row],[Zone]]&amp;"_additional",Sheet1[#Headers],0))</f>
        <v>44.8</v>
      </c>
      <c r="M171" s="1">
        <f>(Table1[[#This Row],[Weight slab]]-0.5)/0.5</f>
        <v>0</v>
      </c>
      <c r="N171" s="1">
        <f>Table1[[#This Row],[Fixed_Charges]]+Table1[[#This Row],[No_of_Extra_slabs]]*Table1[[#This Row],[Additional_Charges]]</f>
        <v>45.4</v>
      </c>
      <c r="O171">
        <f>_xlfn.XLOOKUP(Table1[[#This Row],[OrderID]],'Courier company invoice'!B:B,'Courier company invoice'!H:H)</f>
        <v>269.39999999999998</v>
      </c>
      <c r="P171" s="1">
        <f>Table1[[#This Row],[Billing Amount]]-Table1[[#This Row],[Expected charges]]</f>
        <v>223.99999999999997</v>
      </c>
      <c r="Q171" s="1" t="str" cm="1">
        <f t="array" ref="Q17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72" spans="1:17" x14ac:dyDescent="0.3">
      <c r="A172" s="3" t="s">
        <v>52</v>
      </c>
      <c r="B172" s="2">
        <f>Table1[[#This Row],[Order ID]]*1</f>
        <v>2001809820</v>
      </c>
      <c r="C172" s="2">
        <v>8904223818850</v>
      </c>
      <c r="D172">
        <v>1</v>
      </c>
      <c r="E172">
        <f>_xlfn.XLOOKUP(Table1[[#This Row],[SKU (Product Code)]],'SKU Master'!A:A,'SKU Master'!B:B)</f>
        <v>240</v>
      </c>
      <c r="F172">
        <f>Table1[[#This Row],[Product weight]]*Table1[[#This Row],[Order Qty]]</f>
        <v>240</v>
      </c>
      <c r="G172">
        <f>Table1[[#This Row],[Weight per order (g)]]/1000</f>
        <v>0.24</v>
      </c>
      <c r="H172" s="1">
        <f>CEILING(Table1[[#This Row],[Weight per order (Kg)]],0.5)</f>
        <v>0.5</v>
      </c>
      <c r="I172" t="str">
        <f>_xlfn.XLOOKUP(Table1[[#This Row],[OrderID]],'Courier company invoice'!B:B,'Courier company invoice'!F:F)</f>
        <v>d</v>
      </c>
      <c r="J172" s="1" t="str">
        <f>_xlfn.XLOOKUP(Table1[[#This Row],[OrderID]],Table2[Order ID],Table2[Type of Shipment],"Not Found")</f>
        <v>Forward charges</v>
      </c>
      <c r="K172">
        <f>INDEX(Sheet1[],1,MATCH("fwd_"&amp;Table1[[#This Row],[Zone]]&amp;"_fixed",Sheet1[#Headers],0))</f>
        <v>45.4</v>
      </c>
      <c r="L172">
        <f>INDEX(Sheet1[],1,MATCH("fwd_"&amp;Table1[[#This Row],[Zone]]&amp;"_additional",Sheet1[#Headers],0))</f>
        <v>44.8</v>
      </c>
      <c r="M172" s="1">
        <f>(Table1[[#This Row],[Weight slab]]-0.5)/0.5</f>
        <v>0</v>
      </c>
      <c r="N172" s="1">
        <f>Table1[[#This Row],[Fixed_Charges]]+Table1[[#This Row],[No_of_Extra_slabs]]*Table1[[#This Row],[Additional_Charges]]</f>
        <v>45.4</v>
      </c>
      <c r="O172">
        <f>_xlfn.XLOOKUP(Table1[[#This Row],[OrderID]],'Courier company invoice'!B:B,'Courier company invoice'!H:H)</f>
        <v>269.39999999999998</v>
      </c>
      <c r="P172" s="1">
        <f>Table1[[#This Row],[Billing Amount]]-Table1[[#This Row],[Expected charges]]</f>
        <v>223.99999999999997</v>
      </c>
      <c r="Q172" s="1" t="str" cm="1">
        <f t="array" ref="Q17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73" spans="1:17" x14ac:dyDescent="0.3">
      <c r="A173" s="3" t="s">
        <v>52</v>
      </c>
      <c r="B173" s="2">
        <f>Table1[[#This Row],[Order ID]]*1</f>
        <v>2001809820</v>
      </c>
      <c r="C173" s="2">
        <v>8904223818454</v>
      </c>
      <c r="D173">
        <v>1</v>
      </c>
      <c r="E173">
        <f>_xlfn.XLOOKUP(Table1[[#This Row],[SKU (Product Code)]],'SKU Master'!A:A,'SKU Master'!B:B)</f>
        <v>232</v>
      </c>
      <c r="F173">
        <f>Table1[[#This Row],[Product weight]]*Table1[[#This Row],[Order Qty]]</f>
        <v>232</v>
      </c>
      <c r="G173">
        <f>Table1[[#This Row],[Weight per order (g)]]/1000</f>
        <v>0.23200000000000001</v>
      </c>
      <c r="H173" s="1">
        <f>CEILING(Table1[[#This Row],[Weight per order (Kg)]],0.5)</f>
        <v>0.5</v>
      </c>
      <c r="I173" t="str">
        <f>_xlfn.XLOOKUP(Table1[[#This Row],[OrderID]],'Courier company invoice'!B:B,'Courier company invoice'!F:F)</f>
        <v>d</v>
      </c>
      <c r="J173" s="1" t="str">
        <f>_xlfn.XLOOKUP(Table1[[#This Row],[OrderID]],Table2[Order ID],Table2[Type of Shipment],"Not Found")</f>
        <v>Forward charges</v>
      </c>
      <c r="K173">
        <f>INDEX(Sheet1[],1,MATCH("fwd_"&amp;Table1[[#This Row],[Zone]]&amp;"_fixed",Sheet1[#Headers],0))</f>
        <v>45.4</v>
      </c>
      <c r="L173">
        <f>INDEX(Sheet1[],1,MATCH("fwd_"&amp;Table1[[#This Row],[Zone]]&amp;"_additional",Sheet1[#Headers],0))</f>
        <v>44.8</v>
      </c>
      <c r="M173" s="1">
        <f>(Table1[[#This Row],[Weight slab]]-0.5)/0.5</f>
        <v>0</v>
      </c>
      <c r="N173" s="1">
        <f>Table1[[#This Row],[Fixed_Charges]]+Table1[[#This Row],[No_of_Extra_slabs]]*Table1[[#This Row],[Additional_Charges]]</f>
        <v>45.4</v>
      </c>
      <c r="O173">
        <f>_xlfn.XLOOKUP(Table1[[#This Row],[OrderID]],'Courier company invoice'!B:B,'Courier company invoice'!H:H)</f>
        <v>269.39999999999998</v>
      </c>
      <c r="P173" s="1">
        <f>Table1[[#This Row],[Billing Amount]]-Table1[[#This Row],[Expected charges]]</f>
        <v>223.99999999999997</v>
      </c>
      <c r="Q173" s="1" t="str" cm="1">
        <f t="array" ref="Q17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74" spans="1:17" x14ac:dyDescent="0.3">
      <c r="A174" s="3" t="s">
        <v>53</v>
      </c>
      <c r="B174" s="2">
        <f>Table1[[#This Row],[Order ID]]*1</f>
        <v>2001809794</v>
      </c>
      <c r="C174" s="2">
        <v>8904223819284</v>
      </c>
      <c r="D174">
        <v>1</v>
      </c>
      <c r="E174">
        <f>_xlfn.XLOOKUP(Table1[[#This Row],[SKU (Product Code)]],'SKU Master'!A:A,'SKU Master'!B:B)</f>
        <v>350</v>
      </c>
      <c r="F174">
        <f>Table1[[#This Row],[Product weight]]*Table1[[#This Row],[Order Qty]]</f>
        <v>350</v>
      </c>
      <c r="G174">
        <f>Table1[[#This Row],[Weight per order (g)]]/1000</f>
        <v>0.35</v>
      </c>
      <c r="H174" s="1">
        <f>CEILING(Table1[[#This Row],[Weight per order (Kg)]],0.5)</f>
        <v>0.5</v>
      </c>
      <c r="I174" t="str">
        <f>_xlfn.XLOOKUP(Table1[[#This Row],[OrderID]],'Courier company invoice'!B:B,'Courier company invoice'!F:F)</f>
        <v>d</v>
      </c>
      <c r="J174" s="1" t="str">
        <f>_xlfn.XLOOKUP(Table1[[#This Row],[OrderID]],Table2[Order ID],Table2[Type of Shipment],"Not Found")</f>
        <v>Forward charges</v>
      </c>
      <c r="K174">
        <f>INDEX(Sheet1[],1,MATCH("fwd_"&amp;Table1[[#This Row],[Zone]]&amp;"_fixed",Sheet1[#Headers],0))</f>
        <v>45.4</v>
      </c>
      <c r="L174">
        <f>INDEX(Sheet1[],1,MATCH("fwd_"&amp;Table1[[#This Row],[Zone]]&amp;"_additional",Sheet1[#Headers],0))</f>
        <v>44.8</v>
      </c>
      <c r="M174" s="1">
        <f>(Table1[[#This Row],[Weight slab]]-0.5)/0.5</f>
        <v>0</v>
      </c>
      <c r="N174" s="1">
        <f>Table1[[#This Row],[Fixed_Charges]]+Table1[[#This Row],[No_of_Extra_slabs]]*Table1[[#This Row],[Additional_Charges]]</f>
        <v>45.4</v>
      </c>
      <c r="O174">
        <f>_xlfn.XLOOKUP(Table1[[#This Row],[OrderID]],'Courier company invoice'!B:B,'Courier company invoice'!H:H)</f>
        <v>135</v>
      </c>
      <c r="P174" s="1">
        <f>Table1[[#This Row],[Billing Amount]]-Table1[[#This Row],[Expected charges]]</f>
        <v>89.6</v>
      </c>
      <c r="Q174" s="1" t="str" cm="1">
        <f t="array" ref="Q17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75" spans="1:17" x14ac:dyDescent="0.3">
      <c r="A175" s="3" t="s">
        <v>53</v>
      </c>
      <c r="B175" s="2">
        <f>Table1[[#This Row],[Order ID]]*1</f>
        <v>2001809794</v>
      </c>
      <c r="C175" s="2">
        <v>8904223819352</v>
      </c>
      <c r="D175">
        <v>1</v>
      </c>
      <c r="E175">
        <f>_xlfn.XLOOKUP(Table1[[#This Row],[SKU (Product Code)]],'SKU Master'!A:A,'SKU Master'!B:B)</f>
        <v>165</v>
      </c>
      <c r="F175">
        <f>Table1[[#This Row],[Product weight]]*Table1[[#This Row],[Order Qty]]</f>
        <v>165</v>
      </c>
      <c r="G175">
        <f>Table1[[#This Row],[Weight per order (g)]]/1000</f>
        <v>0.16500000000000001</v>
      </c>
      <c r="H175" s="1">
        <f>CEILING(Table1[[#This Row],[Weight per order (Kg)]],0.5)</f>
        <v>0.5</v>
      </c>
      <c r="I175" t="str">
        <f>_xlfn.XLOOKUP(Table1[[#This Row],[OrderID]],'Courier company invoice'!B:B,'Courier company invoice'!F:F)</f>
        <v>d</v>
      </c>
      <c r="J175" s="1" t="str">
        <f>_xlfn.XLOOKUP(Table1[[#This Row],[OrderID]],Table2[Order ID],Table2[Type of Shipment],"Not Found")</f>
        <v>Forward charges</v>
      </c>
      <c r="K175">
        <f>INDEX(Sheet1[],1,MATCH("fwd_"&amp;Table1[[#This Row],[Zone]]&amp;"_fixed",Sheet1[#Headers],0))</f>
        <v>45.4</v>
      </c>
      <c r="L175">
        <f>INDEX(Sheet1[],1,MATCH("fwd_"&amp;Table1[[#This Row],[Zone]]&amp;"_additional",Sheet1[#Headers],0))</f>
        <v>44.8</v>
      </c>
      <c r="M175" s="1">
        <f>(Table1[[#This Row],[Weight slab]]-0.5)/0.5</f>
        <v>0</v>
      </c>
      <c r="N175" s="1">
        <f>Table1[[#This Row],[Fixed_Charges]]+Table1[[#This Row],[No_of_Extra_slabs]]*Table1[[#This Row],[Additional_Charges]]</f>
        <v>45.4</v>
      </c>
      <c r="O175">
        <f>_xlfn.XLOOKUP(Table1[[#This Row],[OrderID]],'Courier company invoice'!B:B,'Courier company invoice'!H:H)</f>
        <v>135</v>
      </c>
      <c r="P175" s="1">
        <f>Table1[[#This Row],[Billing Amount]]-Table1[[#This Row],[Expected charges]]</f>
        <v>89.6</v>
      </c>
      <c r="Q175" s="1" t="str" cm="1">
        <f t="array" ref="Q17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76" spans="1:17" x14ac:dyDescent="0.3">
      <c r="A176" s="3" t="s">
        <v>53</v>
      </c>
      <c r="B176" s="2">
        <f>Table1[[#This Row],[Order ID]]*1</f>
        <v>2001809794</v>
      </c>
      <c r="C176" s="2">
        <v>8904223818935</v>
      </c>
      <c r="D176">
        <v>1</v>
      </c>
      <c r="E176">
        <f>_xlfn.XLOOKUP(Table1[[#This Row],[SKU (Product Code)]],'SKU Master'!A:A,'SKU Master'!B:B)</f>
        <v>120</v>
      </c>
      <c r="F176">
        <f>Table1[[#This Row],[Product weight]]*Table1[[#This Row],[Order Qty]]</f>
        <v>120</v>
      </c>
      <c r="G176">
        <f>Table1[[#This Row],[Weight per order (g)]]/1000</f>
        <v>0.12</v>
      </c>
      <c r="H176" s="1">
        <f>CEILING(Table1[[#This Row],[Weight per order (Kg)]],0.5)</f>
        <v>0.5</v>
      </c>
      <c r="I176" t="str">
        <f>_xlfn.XLOOKUP(Table1[[#This Row],[OrderID]],'Courier company invoice'!B:B,'Courier company invoice'!F:F)</f>
        <v>d</v>
      </c>
      <c r="J176" s="1" t="str">
        <f>_xlfn.XLOOKUP(Table1[[#This Row],[OrderID]],Table2[Order ID],Table2[Type of Shipment],"Not Found")</f>
        <v>Forward charges</v>
      </c>
      <c r="K176">
        <f>INDEX(Sheet1[],1,MATCH("fwd_"&amp;Table1[[#This Row],[Zone]]&amp;"_fixed",Sheet1[#Headers],0))</f>
        <v>45.4</v>
      </c>
      <c r="L176">
        <f>INDEX(Sheet1[],1,MATCH("fwd_"&amp;Table1[[#This Row],[Zone]]&amp;"_additional",Sheet1[#Headers],0))</f>
        <v>44.8</v>
      </c>
      <c r="M176" s="1">
        <f>(Table1[[#This Row],[Weight slab]]-0.5)/0.5</f>
        <v>0</v>
      </c>
      <c r="N176" s="1">
        <f>Table1[[#This Row],[Fixed_Charges]]+Table1[[#This Row],[No_of_Extra_slabs]]*Table1[[#This Row],[Additional_Charges]]</f>
        <v>45.4</v>
      </c>
      <c r="O176">
        <f>_xlfn.XLOOKUP(Table1[[#This Row],[OrderID]],'Courier company invoice'!B:B,'Courier company invoice'!H:H)</f>
        <v>135</v>
      </c>
      <c r="P176" s="1">
        <f>Table1[[#This Row],[Billing Amount]]-Table1[[#This Row],[Expected charges]]</f>
        <v>89.6</v>
      </c>
      <c r="Q176" s="1" t="str" cm="1">
        <f t="array" ref="Q17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77" spans="1:17" x14ac:dyDescent="0.3">
      <c r="A177" s="3" t="s">
        <v>53</v>
      </c>
      <c r="B177" s="2">
        <f>Table1[[#This Row],[Order ID]]*1</f>
        <v>2001809794</v>
      </c>
      <c r="C177" s="2">
        <v>8904223816214</v>
      </c>
      <c r="D177">
        <v>1</v>
      </c>
      <c r="E177">
        <f>_xlfn.XLOOKUP(Table1[[#This Row],[SKU (Product Code)]],'SKU Master'!A:A,'SKU Master'!B:B)</f>
        <v>120</v>
      </c>
      <c r="F177">
        <f>Table1[[#This Row],[Product weight]]*Table1[[#This Row],[Order Qty]]</f>
        <v>120</v>
      </c>
      <c r="G177">
        <f>Table1[[#This Row],[Weight per order (g)]]/1000</f>
        <v>0.12</v>
      </c>
      <c r="H177" s="1">
        <f>CEILING(Table1[[#This Row],[Weight per order (Kg)]],0.5)</f>
        <v>0.5</v>
      </c>
      <c r="I177" t="str">
        <f>_xlfn.XLOOKUP(Table1[[#This Row],[OrderID]],'Courier company invoice'!B:B,'Courier company invoice'!F:F)</f>
        <v>d</v>
      </c>
      <c r="J177" s="1" t="str">
        <f>_xlfn.XLOOKUP(Table1[[#This Row],[OrderID]],Table2[Order ID],Table2[Type of Shipment],"Not Found")</f>
        <v>Forward charges</v>
      </c>
      <c r="K177">
        <f>INDEX(Sheet1[],1,MATCH("fwd_"&amp;Table1[[#This Row],[Zone]]&amp;"_fixed",Sheet1[#Headers],0))</f>
        <v>45.4</v>
      </c>
      <c r="L177">
        <f>INDEX(Sheet1[],1,MATCH("fwd_"&amp;Table1[[#This Row],[Zone]]&amp;"_additional",Sheet1[#Headers],0))</f>
        <v>44.8</v>
      </c>
      <c r="M177" s="1">
        <f>(Table1[[#This Row],[Weight slab]]-0.5)/0.5</f>
        <v>0</v>
      </c>
      <c r="N177" s="1">
        <f>Table1[[#This Row],[Fixed_Charges]]+Table1[[#This Row],[No_of_Extra_slabs]]*Table1[[#This Row],[Additional_Charges]]</f>
        <v>45.4</v>
      </c>
      <c r="O177">
        <f>_xlfn.XLOOKUP(Table1[[#This Row],[OrderID]],'Courier company invoice'!B:B,'Courier company invoice'!H:H)</f>
        <v>135</v>
      </c>
      <c r="P177" s="1">
        <f>Table1[[#This Row],[Billing Amount]]-Table1[[#This Row],[Expected charges]]</f>
        <v>89.6</v>
      </c>
      <c r="Q177" s="1" t="str" cm="1">
        <f t="array" ref="Q17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78" spans="1:17" x14ac:dyDescent="0.3">
      <c r="A178" s="3" t="s">
        <v>53</v>
      </c>
      <c r="B178" s="2">
        <f>Table1[[#This Row],[Order ID]]*1</f>
        <v>2001809794</v>
      </c>
      <c r="C178" s="2">
        <v>8904223818454</v>
      </c>
      <c r="D178">
        <v>1</v>
      </c>
      <c r="E178">
        <f>_xlfn.XLOOKUP(Table1[[#This Row],[SKU (Product Code)]],'SKU Master'!A:A,'SKU Master'!B:B)</f>
        <v>232</v>
      </c>
      <c r="F178">
        <f>Table1[[#This Row],[Product weight]]*Table1[[#This Row],[Order Qty]]</f>
        <v>232</v>
      </c>
      <c r="G178">
        <f>Table1[[#This Row],[Weight per order (g)]]/1000</f>
        <v>0.23200000000000001</v>
      </c>
      <c r="H178" s="1">
        <f>CEILING(Table1[[#This Row],[Weight per order (Kg)]],0.5)</f>
        <v>0.5</v>
      </c>
      <c r="I178" t="str">
        <f>_xlfn.XLOOKUP(Table1[[#This Row],[OrderID]],'Courier company invoice'!B:B,'Courier company invoice'!F:F)</f>
        <v>d</v>
      </c>
      <c r="J178" s="1" t="str">
        <f>_xlfn.XLOOKUP(Table1[[#This Row],[OrderID]],Table2[Order ID],Table2[Type of Shipment],"Not Found")</f>
        <v>Forward charges</v>
      </c>
      <c r="K178">
        <f>INDEX(Sheet1[],1,MATCH("fwd_"&amp;Table1[[#This Row],[Zone]]&amp;"_fixed",Sheet1[#Headers],0))</f>
        <v>45.4</v>
      </c>
      <c r="L178">
        <f>INDEX(Sheet1[],1,MATCH("fwd_"&amp;Table1[[#This Row],[Zone]]&amp;"_additional",Sheet1[#Headers],0))</f>
        <v>44.8</v>
      </c>
      <c r="M178" s="1">
        <f>(Table1[[#This Row],[Weight slab]]-0.5)/0.5</f>
        <v>0</v>
      </c>
      <c r="N178" s="1">
        <f>Table1[[#This Row],[Fixed_Charges]]+Table1[[#This Row],[No_of_Extra_slabs]]*Table1[[#This Row],[Additional_Charges]]</f>
        <v>45.4</v>
      </c>
      <c r="O178">
        <f>_xlfn.XLOOKUP(Table1[[#This Row],[OrderID]],'Courier company invoice'!B:B,'Courier company invoice'!H:H)</f>
        <v>135</v>
      </c>
      <c r="P178" s="1">
        <f>Table1[[#This Row],[Billing Amount]]-Table1[[#This Row],[Expected charges]]</f>
        <v>89.6</v>
      </c>
      <c r="Q178" s="1" t="str" cm="1">
        <f t="array" ref="Q17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79" spans="1:17" x14ac:dyDescent="0.3">
      <c r="A179" s="3" t="s">
        <v>53</v>
      </c>
      <c r="B179" s="2">
        <f>Table1[[#This Row],[Order ID]]*1</f>
        <v>2001809794</v>
      </c>
      <c r="C179" s="2" t="s">
        <v>54</v>
      </c>
      <c r="D179">
        <v>1</v>
      </c>
      <c r="E179">
        <f>_xlfn.XLOOKUP(Table1[[#This Row],[SKU (Product Code)]],'SKU Master'!A:A,'SKU Master'!B:B)</f>
        <v>500</v>
      </c>
      <c r="F179">
        <f>Table1[[#This Row],[Product weight]]*Table1[[#This Row],[Order Qty]]</f>
        <v>500</v>
      </c>
      <c r="G179">
        <f>Table1[[#This Row],[Weight per order (g)]]/1000</f>
        <v>0.5</v>
      </c>
      <c r="H179" s="1">
        <f>CEILING(Table1[[#This Row],[Weight per order (Kg)]],0.5)</f>
        <v>0.5</v>
      </c>
      <c r="I179" t="str">
        <f>_xlfn.XLOOKUP(Table1[[#This Row],[OrderID]],'Courier company invoice'!B:B,'Courier company invoice'!F:F)</f>
        <v>d</v>
      </c>
      <c r="J179" s="1" t="str">
        <f>_xlfn.XLOOKUP(Table1[[#This Row],[OrderID]],Table2[Order ID],Table2[Type of Shipment],"Not Found")</f>
        <v>Forward charges</v>
      </c>
      <c r="K179">
        <f>INDEX(Sheet1[],1,MATCH("fwd_"&amp;Table1[[#This Row],[Zone]]&amp;"_fixed",Sheet1[#Headers],0))</f>
        <v>45.4</v>
      </c>
      <c r="L179">
        <f>INDEX(Sheet1[],1,MATCH("fwd_"&amp;Table1[[#This Row],[Zone]]&amp;"_additional",Sheet1[#Headers],0))</f>
        <v>44.8</v>
      </c>
      <c r="M179" s="1">
        <f>(Table1[[#This Row],[Weight slab]]-0.5)/0.5</f>
        <v>0</v>
      </c>
      <c r="N179" s="1">
        <f>Table1[[#This Row],[Fixed_Charges]]+Table1[[#This Row],[No_of_Extra_slabs]]*Table1[[#This Row],[Additional_Charges]]</f>
        <v>45.4</v>
      </c>
      <c r="O179">
        <f>_xlfn.XLOOKUP(Table1[[#This Row],[OrderID]],'Courier company invoice'!B:B,'Courier company invoice'!H:H)</f>
        <v>135</v>
      </c>
      <c r="P179" s="1">
        <f>Table1[[#This Row],[Billing Amount]]-Table1[[#This Row],[Expected charges]]</f>
        <v>89.6</v>
      </c>
      <c r="Q179" s="1" t="str" cm="1">
        <f t="array" ref="Q17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80" spans="1:17" x14ac:dyDescent="0.3">
      <c r="A180" s="3" t="s">
        <v>53</v>
      </c>
      <c r="B180" s="2">
        <f>Table1[[#This Row],[Order ID]]*1</f>
        <v>2001809794</v>
      </c>
      <c r="C180" s="2">
        <v>8904223819116</v>
      </c>
      <c r="D180">
        <v>1</v>
      </c>
      <c r="E180">
        <f>_xlfn.XLOOKUP(Table1[[#This Row],[SKU (Product Code)]],'SKU Master'!A:A,'SKU Master'!B:B)</f>
        <v>30</v>
      </c>
      <c r="F180">
        <f>Table1[[#This Row],[Product weight]]*Table1[[#This Row],[Order Qty]]</f>
        <v>30</v>
      </c>
      <c r="G180">
        <f>Table1[[#This Row],[Weight per order (g)]]/1000</f>
        <v>0.03</v>
      </c>
      <c r="H180" s="1">
        <f>CEILING(Table1[[#This Row],[Weight per order (Kg)]],0.5)</f>
        <v>0.5</v>
      </c>
      <c r="I180" t="str">
        <f>_xlfn.XLOOKUP(Table1[[#This Row],[OrderID]],'Courier company invoice'!B:B,'Courier company invoice'!F:F)</f>
        <v>d</v>
      </c>
      <c r="J180" s="1" t="str">
        <f>_xlfn.XLOOKUP(Table1[[#This Row],[OrderID]],Table2[Order ID],Table2[Type of Shipment],"Not Found")</f>
        <v>Forward charges</v>
      </c>
      <c r="K180">
        <f>INDEX(Sheet1[],1,MATCH("fwd_"&amp;Table1[[#This Row],[Zone]]&amp;"_fixed",Sheet1[#Headers],0))</f>
        <v>45.4</v>
      </c>
      <c r="L180">
        <f>INDEX(Sheet1[],1,MATCH("fwd_"&amp;Table1[[#This Row],[Zone]]&amp;"_additional",Sheet1[#Headers],0))</f>
        <v>44.8</v>
      </c>
      <c r="M180" s="1">
        <f>(Table1[[#This Row],[Weight slab]]-0.5)/0.5</f>
        <v>0</v>
      </c>
      <c r="N180" s="1">
        <f>Table1[[#This Row],[Fixed_Charges]]+Table1[[#This Row],[No_of_Extra_slabs]]*Table1[[#This Row],[Additional_Charges]]</f>
        <v>45.4</v>
      </c>
      <c r="O180">
        <f>_xlfn.XLOOKUP(Table1[[#This Row],[OrderID]],'Courier company invoice'!B:B,'Courier company invoice'!H:H)</f>
        <v>135</v>
      </c>
      <c r="P180" s="1">
        <f>Table1[[#This Row],[Billing Amount]]-Table1[[#This Row],[Expected charges]]</f>
        <v>89.6</v>
      </c>
      <c r="Q180" s="1" t="str" cm="1">
        <f t="array" ref="Q18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81" spans="1:17" x14ac:dyDescent="0.3">
      <c r="A181" s="3" t="s">
        <v>55</v>
      </c>
      <c r="B181" s="2">
        <f>Table1[[#This Row],[Order ID]]*1</f>
        <v>2001809592</v>
      </c>
      <c r="C181" s="2">
        <v>8904223818706</v>
      </c>
      <c r="D181">
        <v>1</v>
      </c>
      <c r="E181">
        <f>_xlfn.XLOOKUP(Table1[[#This Row],[SKU (Product Code)]],'SKU Master'!A:A,'SKU Master'!B:B)</f>
        <v>127</v>
      </c>
      <c r="F181">
        <f>Table1[[#This Row],[Product weight]]*Table1[[#This Row],[Order Qty]]</f>
        <v>127</v>
      </c>
      <c r="G181">
        <f>Table1[[#This Row],[Weight per order (g)]]/1000</f>
        <v>0.127</v>
      </c>
      <c r="H181" s="1">
        <f>CEILING(Table1[[#This Row],[Weight per order (Kg)]],0.5)</f>
        <v>0.5</v>
      </c>
      <c r="I181" t="str">
        <f>_xlfn.XLOOKUP(Table1[[#This Row],[OrderID]],'Courier company invoice'!B:B,'Courier company invoice'!F:F)</f>
        <v>b</v>
      </c>
      <c r="J181" s="1" t="str">
        <f>_xlfn.XLOOKUP(Table1[[#This Row],[OrderID]],Table2[Order ID],Table2[Type of Shipment],"Not Found")</f>
        <v>Forward charges</v>
      </c>
      <c r="K181">
        <f>INDEX(Sheet1[],1,MATCH("fwd_"&amp;Table1[[#This Row],[Zone]]&amp;"_fixed",Sheet1[#Headers],0))</f>
        <v>33</v>
      </c>
      <c r="L181">
        <f>INDEX(Sheet1[],1,MATCH("fwd_"&amp;Table1[[#This Row],[Zone]]&amp;"_additional",Sheet1[#Headers],0))</f>
        <v>28.3</v>
      </c>
      <c r="M181" s="1">
        <f>(Table1[[#This Row],[Weight slab]]-0.5)/0.5</f>
        <v>0</v>
      </c>
      <c r="N181" s="1">
        <f>Table1[[#This Row],[Fixed_Charges]]+Table1[[#This Row],[No_of_Extra_slabs]]*Table1[[#This Row],[Additional_Charges]]</f>
        <v>33</v>
      </c>
      <c r="O181">
        <f>_xlfn.XLOOKUP(Table1[[#This Row],[OrderID]],'Courier company invoice'!B:B,'Courier company invoice'!H:H)</f>
        <v>89.6</v>
      </c>
      <c r="P181" s="1">
        <f>Table1[[#This Row],[Billing Amount]]-Table1[[#This Row],[Expected charges]]</f>
        <v>56.599999999999994</v>
      </c>
      <c r="Q181" s="1" t="str" cm="1">
        <f t="array" ref="Q18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82" spans="1:17" x14ac:dyDescent="0.3">
      <c r="A182" s="3" t="s">
        <v>55</v>
      </c>
      <c r="B182" s="2">
        <f>Table1[[#This Row],[Order ID]]*1</f>
        <v>2001809592</v>
      </c>
      <c r="C182" s="2">
        <v>8904223819024</v>
      </c>
      <c r="D182">
        <v>8</v>
      </c>
      <c r="E182">
        <f>_xlfn.XLOOKUP(Table1[[#This Row],[SKU (Product Code)]],'SKU Master'!A:A,'SKU Master'!B:B)</f>
        <v>112</v>
      </c>
      <c r="F182">
        <f>Table1[[#This Row],[Product weight]]*Table1[[#This Row],[Order Qty]]</f>
        <v>896</v>
      </c>
      <c r="G182">
        <f>Table1[[#This Row],[Weight per order (g)]]/1000</f>
        <v>0.89600000000000002</v>
      </c>
      <c r="H182" s="1">
        <f>CEILING(Table1[[#This Row],[Weight per order (Kg)]],0.5)</f>
        <v>1</v>
      </c>
      <c r="I182" t="str">
        <f>_xlfn.XLOOKUP(Table1[[#This Row],[OrderID]],'Courier company invoice'!B:B,'Courier company invoice'!F:F)</f>
        <v>b</v>
      </c>
      <c r="J182" s="1" t="str">
        <f>_xlfn.XLOOKUP(Table1[[#This Row],[OrderID]],Table2[Order ID],Table2[Type of Shipment],"Not Found")</f>
        <v>Forward charges</v>
      </c>
      <c r="K182">
        <f>INDEX(Sheet1[],1,MATCH("fwd_"&amp;Table1[[#This Row],[Zone]]&amp;"_fixed",Sheet1[#Headers],0))</f>
        <v>33</v>
      </c>
      <c r="L182">
        <f>INDEX(Sheet1[],1,MATCH("fwd_"&amp;Table1[[#This Row],[Zone]]&amp;"_additional",Sheet1[#Headers],0))</f>
        <v>28.3</v>
      </c>
      <c r="M182" s="1">
        <f>(Table1[[#This Row],[Weight slab]]-0.5)/0.5</f>
        <v>1</v>
      </c>
      <c r="N182" s="1">
        <f>Table1[[#This Row],[Fixed_Charges]]+Table1[[#This Row],[No_of_Extra_slabs]]*Table1[[#This Row],[Additional_Charges]]</f>
        <v>61.3</v>
      </c>
      <c r="O182">
        <f>_xlfn.XLOOKUP(Table1[[#This Row],[OrderID]],'Courier company invoice'!B:B,'Courier company invoice'!H:H)</f>
        <v>89.6</v>
      </c>
      <c r="P182" s="1">
        <f>Table1[[#This Row],[Billing Amount]]-Table1[[#This Row],[Expected charges]]</f>
        <v>28.299999999999997</v>
      </c>
      <c r="Q182" s="1" t="str" cm="1">
        <f t="array" ref="Q18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83" spans="1:17" x14ac:dyDescent="0.3">
      <c r="A183" s="3" t="s">
        <v>55</v>
      </c>
      <c r="B183" s="2">
        <f>Table1[[#This Row],[Order ID]]*1</f>
        <v>2001809592</v>
      </c>
      <c r="C183" s="2">
        <v>8904223818683</v>
      </c>
      <c r="D183">
        <v>2</v>
      </c>
      <c r="E183">
        <f>_xlfn.XLOOKUP(Table1[[#This Row],[SKU (Product Code)]],'SKU Master'!A:A,'SKU Master'!B:B)</f>
        <v>121</v>
      </c>
      <c r="F183">
        <f>Table1[[#This Row],[Product weight]]*Table1[[#This Row],[Order Qty]]</f>
        <v>242</v>
      </c>
      <c r="G183">
        <f>Table1[[#This Row],[Weight per order (g)]]/1000</f>
        <v>0.24199999999999999</v>
      </c>
      <c r="H183" s="1">
        <f>CEILING(Table1[[#This Row],[Weight per order (Kg)]],0.5)</f>
        <v>0.5</v>
      </c>
      <c r="I183" t="str">
        <f>_xlfn.XLOOKUP(Table1[[#This Row],[OrderID]],'Courier company invoice'!B:B,'Courier company invoice'!F:F)</f>
        <v>b</v>
      </c>
      <c r="J183" s="1" t="str">
        <f>_xlfn.XLOOKUP(Table1[[#This Row],[OrderID]],Table2[Order ID],Table2[Type of Shipment],"Not Found")</f>
        <v>Forward charges</v>
      </c>
      <c r="K183">
        <f>INDEX(Sheet1[],1,MATCH("fwd_"&amp;Table1[[#This Row],[Zone]]&amp;"_fixed",Sheet1[#Headers],0))</f>
        <v>33</v>
      </c>
      <c r="L183">
        <f>INDEX(Sheet1[],1,MATCH("fwd_"&amp;Table1[[#This Row],[Zone]]&amp;"_additional",Sheet1[#Headers],0))</f>
        <v>28.3</v>
      </c>
      <c r="M183" s="1">
        <f>(Table1[[#This Row],[Weight slab]]-0.5)/0.5</f>
        <v>0</v>
      </c>
      <c r="N183" s="1">
        <f>Table1[[#This Row],[Fixed_Charges]]+Table1[[#This Row],[No_of_Extra_slabs]]*Table1[[#This Row],[Additional_Charges]]</f>
        <v>33</v>
      </c>
      <c r="O183">
        <f>_xlfn.XLOOKUP(Table1[[#This Row],[OrderID]],'Courier company invoice'!B:B,'Courier company invoice'!H:H)</f>
        <v>89.6</v>
      </c>
      <c r="P183" s="1">
        <f>Table1[[#This Row],[Billing Amount]]-Table1[[#This Row],[Expected charges]]</f>
        <v>56.599999999999994</v>
      </c>
      <c r="Q183" s="1" t="str" cm="1">
        <f t="array" ref="Q18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84" spans="1:17" x14ac:dyDescent="0.3">
      <c r="A184" s="3" t="s">
        <v>55</v>
      </c>
      <c r="B184" s="2">
        <f>Table1[[#This Row],[Order ID]]*1</f>
        <v>2001809592</v>
      </c>
      <c r="C184" s="2">
        <v>8904223818850</v>
      </c>
      <c r="D184">
        <v>1</v>
      </c>
      <c r="E184">
        <f>_xlfn.XLOOKUP(Table1[[#This Row],[SKU (Product Code)]],'SKU Master'!A:A,'SKU Master'!B:B)</f>
        <v>240</v>
      </c>
      <c r="F184">
        <f>Table1[[#This Row],[Product weight]]*Table1[[#This Row],[Order Qty]]</f>
        <v>240</v>
      </c>
      <c r="G184">
        <f>Table1[[#This Row],[Weight per order (g)]]/1000</f>
        <v>0.24</v>
      </c>
      <c r="H184" s="1">
        <f>CEILING(Table1[[#This Row],[Weight per order (Kg)]],0.5)</f>
        <v>0.5</v>
      </c>
      <c r="I184" t="str">
        <f>_xlfn.XLOOKUP(Table1[[#This Row],[OrderID]],'Courier company invoice'!B:B,'Courier company invoice'!F:F)</f>
        <v>b</v>
      </c>
      <c r="J184" s="1" t="str">
        <f>_xlfn.XLOOKUP(Table1[[#This Row],[OrderID]],Table2[Order ID],Table2[Type of Shipment],"Not Found")</f>
        <v>Forward charges</v>
      </c>
      <c r="K184">
        <f>INDEX(Sheet1[],1,MATCH("fwd_"&amp;Table1[[#This Row],[Zone]]&amp;"_fixed",Sheet1[#Headers],0))</f>
        <v>33</v>
      </c>
      <c r="L184">
        <f>INDEX(Sheet1[],1,MATCH("fwd_"&amp;Table1[[#This Row],[Zone]]&amp;"_additional",Sheet1[#Headers],0))</f>
        <v>28.3</v>
      </c>
      <c r="M184" s="1">
        <f>(Table1[[#This Row],[Weight slab]]-0.5)/0.5</f>
        <v>0</v>
      </c>
      <c r="N184" s="1">
        <f>Table1[[#This Row],[Fixed_Charges]]+Table1[[#This Row],[No_of_Extra_slabs]]*Table1[[#This Row],[Additional_Charges]]</f>
        <v>33</v>
      </c>
      <c r="O184">
        <f>_xlfn.XLOOKUP(Table1[[#This Row],[OrderID]],'Courier company invoice'!B:B,'Courier company invoice'!H:H)</f>
        <v>89.6</v>
      </c>
      <c r="P184" s="1">
        <f>Table1[[#This Row],[Billing Amount]]-Table1[[#This Row],[Expected charges]]</f>
        <v>56.599999999999994</v>
      </c>
      <c r="Q184" s="1" t="str" cm="1">
        <f t="array" ref="Q18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85" spans="1:17" x14ac:dyDescent="0.3">
      <c r="A185" s="3" t="s">
        <v>56</v>
      </c>
      <c r="B185" s="2">
        <f>Table1[[#This Row],[Order ID]]*1</f>
        <v>2001809383</v>
      </c>
      <c r="C185" s="2">
        <v>8904223818706</v>
      </c>
      <c r="D185">
        <v>1</v>
      </c>
      <c r="E185">
        <f>_xlfn.XLOOKUP(Table1[[#This Row],[SKU (Product Code)]],'SKU Master'!A:A,'SKU Master'!B:B)</f>
        <v>127</v>
      </c>
      <c r="F185">
        <f>Table1[[#This Row],[Product weight]]*Table1[[#This Row],[Order Qty]]</f>
        <v>127</v>
      </c>
      <c r="G185">
        <f>Table1[[#This Row],[Weight per order (g)]]/1000</f>
        <v>0.127</v>
      </c>
      <c r="H185" s="1">
        <f>CEILING(Table1[[#This Row],[Weight per order (Kg)]],0.5)</f>
        <v>0.5</v>
      </c>
      <c r="I185" t="str">
        <f>_xlfn.XLOOKUP(Table1[[#This Row],[OrderID]],'Courier company invoice'!B:B,'Courier company invoice'!F:F)</f>
        <v>d</v>
      </c>
      <c r="J185" s="1" t="str">
        <f>_xlfn.XLOOKUP(Table1[[#This Row],[OrderID]],Table2[Order ID],Table2[Type of Shipment],"Not Found")</f>
        <v>Forward and RTO charges</v>
      </c>
      <c r="K185">
        <f>INDEX(Sheet1[],1,MATCH("fwd_"&amp;Table1[[#This Row],[Zone]]&amp;"_fixed",Sheet1[#Headers],0))</f>
        <v>45.4</v>
      </c>
      <c r="L185">
        <f>INDEX(Sheet1[],1,MATCH("fwd_"&amp;Table1[[#This Row],[Zone]]&amp;"_additional",Sheet1[#Headers],0))</f>
        <v>44.8</v>
      </c>
      <c r="M185" s="1">
        <f>(Table1[[#This Row],[Weight slab]]-0.5)/0.5</f>
        <v>0</v>
      </c>
      <c r="N185" s="1">
        <f>Table1[[#This Row],[Fixed_Charges]]+Table1[[#This Row],[No_of_Extra_slabs]]*Table1[[#This Row],[Additional_Charges]]</f>
        <v>45.4</v>
      </c>
      <c r="O185">
        <f>_xlfn.XLOOKUP(Table1[[#This Row],[OrderID]],'Courier company invoice'!B:B,'Courier company invoice'!H:H)</f>
        <v>86.7</v>
      </c>
      <c r="P185" s="1">
        <f>Table1[[#This Row],[Billing Amount]]-Table1[[#This Row],[Expected charges]]</f>
        <v>41.300000000000004</v>
      </c>
      <c r="Q185" s="1" t="str" cm="1">
        <f t="array" ref="Q18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86" spans="1:17" x14ac:dyDescent="0.3">
      <c r="A186" s="3" t="s">
        <v>56</v>
      </c>
      <c r="B186" s="2">
        <f>Table1[[#This Row],[Order ID]]*1</f>
        <v>2001809383</v>
      </c>
      <c r="C186" s="2">
        <v>8904223818850</v>
      </c>
      <c r="D186">
        <v>1</v>
      </c>
      <c r="E186">
        <f>_xlfn.XLOOKUP(Table1[[#This Row],[SKU (Product Code)]],'SKU Master'!A:A,'SKU Master'!B:B)</f>
        <v>240</v>
      </c>
      <c r="F186">
        <f>Table1[[#This Row],[Product weight]]*Table1[[#This Row],[Order Qty]]</f>
        <v>240</v>
      </c>
      <c r="G186">
        <f>Table1[[#This Row],[Weight per order (g)]]/1000</f>
        <v>0.24</v>
      </c>
      <c r="H186" s="1">
        <f>CEILING(Table1[[#This Row],[Weight per order (Kg)]],0.5)</f>
        <v>0.5</v>
      </c>
      <c r="I186" t="str">
        <f>_xlfn.XLOOKUP(Table1[[#This Row],[OrderID]],'Courier company invoice'!B:B,'Courier company invoice'!F:F)</f>
        <v>d</v>
      </c>
      <c r="J186" s="1" t="str">
        <f>_xlfn.XLOOKUP(Table1[[#This Row],[OrderID]],Table2[Order ID],Table2[Type of Shipment],"Not Found")</f>
        <v>Forward and RTO charges</v>
      </c>
      <c r="K186">
        <f>INDEX(Sheet1[],1,MATCH("fwd_"&amp;Table1[[#This Row],[Zone]]&amp;"_fixed",Sheet1[#Headers],0))</f>
        <v>45.4</v>
      </c>
      <c r="L186">
        <f>INDEX(Sheet1[],1,MATCH("fwd_"&amp;Table1[[#This Row],[Zone]]&amp;"_additional",Sheet1[#Headers],0))</f>
        <v>44.8</v>
      </c>
      <c r="M186" s="1">
        <f>(Table1[[#This Row],[Weight slab]]-0.5)/0.5</f>
        <v>0</v>
      </c>
      <c r="N186" s="1">
        <f>Table1[[#This Row],[Fixed_Charges]]+Table1[[#This Row],[No_of_Extra_slabs]]*Table1[[#This Row],[Additional_Charges]]</f>
        <v>45.4</v>
      </c>
      <c r="O186">
        <f>_xlfn.XLOOKUP(Table1[[#This Row],[OrderID]],'Courier company invoice'!B:B,'Courier company invoice'!H:H)</f>
        <v>86.7</v>
      </c>
      <c r="P186" s="1">
        <f>Table1[[#This Row],[Billing Amount]]-Table1[[#This Row],[Expected charges]]</f>
        <v>41.300000000000004</v>
      </c>
      <c r="Q186" s="1" t="str" cm="1">
        <f t="array" ref="Q18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87" spans="1:17" x14ac:dyDescent="0.3">
      <c r="A187" s="3" t="s">
        <v>56</v>
      </c>
      <c r="B187" s="2">
        <f>Table1[[#This Row],[Order ID]]*1</f>
        <v>2001809383</v>
      </c>
      <c r="C187" s="2">
        <v>8904223819468</v>
      </c>
      <c r="D187">
        <v>1</v>
      </c>
      <c r="E187">
        <f>_xlfn.XLOOKUP(Table1[[#This Row],[SKU (Product Code)]],'SKU Master'!A:A,'SKU Master'!B:B)</f>
        <v>240</v>
      </c>
      <c r="F187">
        <f>Table1[[#This Row],[Product weight]]*Table1[[#This Row],[Order Qty]]</f>
        <v>240</v>
      </c>
      <c r="G187">
        <f>Table1[[#This Row],[Weight per order (g)]]/1000</f>
        <v>0.24</v>
      </c>
      <c r="H187" s="1">
        <f>CEILING(Table1[[#This Row],[Weight per order (Kg)]],0.5)</f>
        <v>0.5</v>
      </c>
      <c r="I187" t="str">
        <f>_xlfn.XLOOKUP(Table1[[#This Row],[OrderID]],'Courier company invoice'!B:B,'Courier company invoice'!F:F)</f>
        <v>d</v>
      </c>
      <c r="J187" s="1" t="str">
        <f>_xlfn.XLOOKUP(Table1[[#This Row],[OrderID]],Table2[Order ID],Table2[Type of Shipment],"Not Found")</f>
        <v>Forward and RTO charges</v>
      </c>
      <c r="K187">
        <f>INDEX(Sheet1[],1,MATCH("fwd_"&amp;Table1[[#This Row],[Zone]]&amp;"_fixed",Sheet1[#Headers],0))</f>
        <v>45.4</v>
      </c>
      <c r="L187">
        <f>INDEX(Sheet1[],1,MATCH("fwd_"&amp;Table1[[#This Row],[Zone]]&amp;"_additional",Sheet1[#Headers],0))</f>
        <v>44.8</v>
      </c>
      <c r="M187" s="1">
        <f>(Table1[[#This Row],[Weight slab]]-0.5)/0.5</f>
        <v>0</v>
      </c>
      <c r="N187" s="1">
        <f>Table1[[#This Row],[Fixed_Charges]]+Table1[[#This Row],[No_of_Extra_slabs]]*Table1[[#This Row],[Additional_Charges]]</f>
        <v>45.4</v>
      </c>
      <c r="O187">
        <f>_xlfn.XLOOKUP(Table1[[#This Row],[OrderID]],'Courier company invoice'!B:B,'Courier company invoice'!H:H)</f>
        <v>86.7</v>
      </c>
      <c r="P187" s="1">
        <f>Table1[[#This Row],[Billing Amount]]-Table1[[#This Row],[Expected charges]]</f>
        <v>41.300000000000004</v>
      </c>
      <c r="Q187" s="1" t="str" cm="1">
        <f t="array" ref="Q18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88" spans="1:17" x14ac:dyDescent="0.3">
      <c r="A188" s="3" t="s">
        <v>57</v>
      </c>
      <c r="B188" s="2">
        <f>Table1[[#This Row],[Order ID]]*1</f>
        <v>2001809270</v>
      </c>
      <c r="C188" s="2">
        <v>8904223818706</v>
      </c>
      <c r="D188">
        <v>1</v>
      </c>
      <c r="E188">
        <f>_xlfn.XLOOKUP(Table1[[#This Row],[SKU (Product Code)]],'SKU Master'!A:A,'SKU Master'!B:B)</f>
        <v>127</v>
      </c>
      <c r="F188">
        <f>Table1[[#This Row],[Product weight]]*Table1[[#This Row],[Order Qty]]</f>
        <v>127</v>
      </c>
      <c r="G188">
        <f>Table1[[#This Row],[Weight per order (g)]]/1000</f>
        <v>0.127</v>
      </c>
      <c r="H188" s="1">
        <f>CEILING(Table1[[#This Row],[Weight per order (Kg)]],0.5)</f>
        <v>0.5</v>
      </c>
      <c r="I188" t="str">
        <f>_xlfn.XLOOKUP(Table1[[#This Row],[OrderID]],'Courier company invoice'!B:B,'Courier company invoice'!F:F)</f>
        <v>d</v>
      </c>
      <c r="J188" s="1" t="str">
        <f>_xlfn.XLOOKUP(Table1[[#This Row],[OrderID]],Table2[Order ID],Table2[Type of Shipment],"Not Found")</f>
        <v>Forward charges</v>
      </c>
      <c r="K188">
        <f>INDEX(Sheet1[],1,MATCH("fwd_"&amp;Table1[[#This Row],[Zone]]&amp;"_fixed",Sheet1[#Headers],0))</f>
        <v>45.4</v>
      </c>
      <c r="L188">
        <f>INDEX(Sheet1[],1,MATCH("fwd_"&amp;Table1[[#This Row],[Zone]]&amp;"_additional",Sheet1[#Headers],0))</f>
        <v>44.8</v>
      </c>
      <c r="M188" s="1">
        <f>(Table1[[#This Row],[Weight slab]]-0.5)/0.5</f>
        <v>0</v>
      </c>
      <c r="N188" s="1">
        <f>Table1[[#This Row],[Fixed_Charges]]+Table1[[#This Row],[No_of_Extra_slabs]]*Table1[[#This Row],[Additional_Charges]]</f>
        <v>45.4</v>
      </c>
      <c r="O188">
        <f>_xlfn.XLOOKUP(Table1[[#This Row],[OrderID]],'Courier company invoice'!B:B,'Courier company invoice'!H:H)</f>
        <v>90.2</v>
      </c>
      <c r="P188" s="1">
        <f>Table1[[#This Row],[Billing Amount]]-Table1[[#This Row],[Expected charges]]</f>
        <v>44.800000000000004</v>
      </c>
      <c r="Q188" s="1" t="str" cm="1">
        <f t="array" ref="Q18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89" spans="1:17" x14ac:dyDescent="0.3">
      <c r="A189" s="3" t="s">
        <v>57</v>
      </c>
      <c r="B189" s="2">
        <f>Table1[[#This Row],[Order ID]]*1</f>
        <v>2001809270</v>
      </c>
      <c r="C189" s="2">
        <v>8904223818942</v>
      </c>
      <c r="D189">
        <v>1</v>
      </c>
      <c r="E189">
        <f>_xlfn.XLOOKUP(Table1[[#This Row],[SKU (Product Code)]],'SKU Master'!A:A,'SKU Master'!B:B)</f>
        <v>133</v>
      </c>
      <c r="F189">
        <f>Table1[[#This Row],[Product weight]]*Table1[[#This Row],[Order Qty]]</f>
        <v>133</v>
      </c>
      <c r="G189">
        <f>Table1[[#This Row],[Weight per order (g)]]/1000</f>
        <v>0.13300000000000001</v>
      </c>
      <c r="H189" s="1">
        <f>CEILING(Table1[[#This Row],[Weight per order (Kg)]],0.5)</f>
        <v>0.5</v>
      </c>
      <c r="I189" t="str">
        <f>_xlfn.XLOOKUP(Table1[[#This Row],[OrderID]],'Courier company invoice'!B:B,'Courier company invoice'!F:F)</f>
        <v>d</v>
      </c>
      <c r="J189" s="1" t="str">
        <f>_xlfn.XLOOKUP(Table1[[#This Row],[OrderID]],Table2[Order ID],Table2[Type of Shipment],"Not Found")</f>
        <v>Forward charges</v>
      </c>
      <c r="K189">
        <f>INDEX(Sheet1[],1,MATCH("fwd_"&amp;Table1[[#This Row],[Zone]]&amp;"_fixed",Sheet1[#Headers],0))</f>
        <v>45.4</v>
      </c>
      <c r="L189">
        <f>INDEX(Sheet1[],1,MATCH("fwd_"&amp;Table1[[#This Row],[Zone]]&amp;"_additional",Sheet1[#Headers],0))</f>
        <v>44.8</v>
      </c>
      <c r="M189" s="1">
        <f>(Table1[[#This Row],[Weight slab]]-0.5)/0.5</f>
        <v>0</v>
      </c>
      <c r="N189" s="1">
        <f>Table1[[#This Row],[Fixed_Charges]]+Table1[[#This Row],[No_of_Extra_slabs]]*Table1[[#This Row],[Additional_Charges]]</f>
        <v>45.4</v>
      </c>
      <c r="O189">
        <f>_xlfn.XLOOKUP(Table1[[#This Row],[OrderID]],'Courier company invoice'!B:B,'Courier company invoice'!H:H)</f>
        <v>90.2</v>
      </c>
      <c r="P189" s="1">
        <f>Table1[[#This Row],[Billing Amount]]-Table1[[#This Row],[Expected charges]]</f>
        <v>44.800000000000004</v>
      </c>
      <c r="Q189" s="1" t="str" cm="1">
        <f t="array" ref="Q18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90" spans="1:17" x14ac:dyDescent="0.3">
      <c r="A190" s="3" t="s">
        <v>57</v>
      </c>
      <c r="B190" s="2">
        <f>Table1[[#This Row],[Order ID]]*1</f>
        <v>2001809270</v>
      </c>
      <c r="C190" s="2">
        <v>8904223818850</v>
      </c>
      <c r="D190">
        <v>1</v>
      </c>
      <c r="E190">
        <f>_xlfn.XLOOKUP(Table1[[#This Row],[SKU (Product Code)]],'SKU Master'!A:A,'SKU Master'!B:B)</f>
        <v>240</v>
      </c>
      <c r="F190">
        <f>Table1[[#This Row],[Product weight]]*Table1[[#This Row],[Order Qty]]</f>
        <v>240</v>
      </c>
      <c r="G190">
        <f>Table1[[#This Row],[Weight per order (g)]]/1000</f>
        <v>0.24</v>
      </c>
      <c r="H190" s="1">
        <f>CEILING(Table1[[#This Row],[Weight per order (Kg)]],0.5)</f>
        <v>0.5</v>
      </c>
      <c r="I190" t="str">
        <f>_xlfn.XLOOKUP(Table1[[#This Row],[OrderID]],'Courier company invoice'!B:B,'Courier company invoice'!F:F)</f>
        <v>d</v>
      </c>
      <c r="J190" s="1" t="str">
        <f>_xlfn.XLOOKUP(Table1[[#This Row],[OrderID]],Table2[Order ID],Table2[Type of Shipment],"Not Found")</f>
        <v>Forward charges</v>
      </c>
      <c r="K190">
        <f>INDEX(Sheet1[],1,MATCH("fwd_"&amp;Table1[[#This Row],[Zone]]&amp;"_fixed",Sheet1[#Headers],0))</f>
        <v>45.4</v>
      </c>
      <c r="L190">
        <f>INDEX(Sheet1[],1,MATCH("fwd_"&amp;Table1[[#This Row],[Zone]]&amp;"_additional",Sheet1[#Headers],0))</f>
        <v>44.8</v>
      </c>
      <c r="M190" s="1">
        <f>(Table1[[#This Row],[Weight slab]]-0.5)/0.5</f>
        <v>0</v>
      </c>
      <c r="N190" s="1">
        <f>Table1[[#This Row],[Fixed_Charges]]+Table1[[#This Row],[No_of_Extra_slabs]]*Table1[[#This Row],[Additional_Charges]]</f>
        <v>45.4</v>
      </c>
      <c r="O190">
        <f>_xlfn.XLOOKUP(Table1[[#This Row],[OrderID]],'Courier company invoice'!B:B,'Courier company invoice'!H:H)</f>
        <v>90.2</v>
      </c>
      <c r="P190" s="1">
        <f>Table1[[#This Row],[Billing Amount]]-Table1[[#This Row],[Expected charges]]</f>
        <v>44.800000000000004</v>
      </c>
      <c r="Q190" s="1" t="str" cm="1">
        <f t="array" ref="Q19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91" spans="1:17" x14ac:dyDescent="0.3">
      <c r="A191" s="3" t="s">
        <v>58</v>
      </c>
      <c r="B191" s="2">
        <f>Table1[[#This Row],[Order ID]]*1</f>
        <v>2001808992</v>
      </c>
      <c r="C191" s="2">
        <v>8904223818706</v>
      </c>
      <c r="D191">
        <v>1</v>
      </c>
      <c r="E191">
        <f>_xlfn.XLOOKUP(Table1[[#This Row],[SKU (Product Code)]],'SKU Master'!A:A,'SKU Master'!B:B)</f>
        <v>127</v>
      </c>
      <c r="F191">
        <f>Table1[[#This Row],[Product weight]]*Table1[[#This Row],[Order Qty]]</f>
        <v>127</v>
      </c>
      <c r="G191">
        <f>Table1[[#This Row],[Weight per order (g)]]/1000</f>
        <v>0.127</v>
      </c>
      <c r="H191" s="1">
        <f>CEILING(Table1[[#This Row],[Weight per order (Kg)]],0.5)</f>
        <v>0.5</v>
      </c>
      <c r="I191" t="str">
        <f>_xlfn.XLOOKUP(Table1[[#This Row],[OrderID]],'Courier company invoice'!B:B,'Courier company invoice'!F:F)</f>
        <v>d</v>
      </c>
      <c r="J191" s="1" t="str">
        <f>_xlfn.XLOOKUP(Table1[[#This Row],[OrderID]],Table2[Order ID],Table2[Type of Shipment],"Not Found")</f>
        <v>Forward charges</v>
      </c>
      <c r="K191">
        <f>INDEX(Sheet1[],1,MATCH("fwd_"&amp;Table1[[#This Row],[Zone]]&amp;"_fixed",Sheet1[#Headers],0))</f>
        <v>45.4</v>
      </c>
      <c r="L191">
        <f>INDEX(Sheet1[],1,MATCH("fwd_"&amp;Table1[[#This Row],[Zone]]&amp;"_additional",Sheet1[#Headers],0))</f>
        <v>44.8</v>
      </c>
      <c r="M191" s="1">
        <f>(Table1[[#This Row],[Weight slab]]-0.5)/0.5</f>
        <v>0</v>
      </c>
      <c r="N191" s="1">
        <f>Table1[[#This Row],[Fixed_Charges]]+Table1[[#This Row],[No_of_Extra_slabs]]*Table1[[#This Row],[Additional_Charges]]</f>
        <v>45.4</v>
      </c>
      <c r="O191">
        <f>_xlfn.XLOOKUP(Table1[[#This Row],[OrderID]],'Courier company invoice'!B:B,'Courier company invoice'!H:H)</f>
        <v>90.2</v>
      </c>
      <c r="P191" s="1">
        <f>Table1[[#This Row],[Billing Amount]]-Table1[[#This Row],[Expected charges]]</f>
        <v>44.800000000000004</v>
      </c>
      <c r="Q191" s="1" t="str" cm="1">
        <f t="array" ref="Q19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92" spans="1:17" x14ac:dyDescent="0.3">
      <c r="A192" s="3" t="s">
        <v>58</v>
      </c>
      <c r="B192" s="2">
        <f>Table1[[#This Row],[Order ID]]*1</f>
        <v>2001808992</v>
      </c>
      <c r="C192" s="2">
        <v>8904223818942</v>
      </c>
      <c r="D192">
        <v>1</v>
      </c>
      <c r="E192">
        <f>_xlfn.XLOOKUP(Table1[[#This Row],[SKU (Product Code)]],'SKU Master'!A:A,'SKU Master'!B:B)</f>
        <v>133</v>
      </c>
      <c r="F192">
        <f>Table1[[#This Row],[Product weight]]*Table1[[#This Row],[Order Qty]]</f>
        <v>133</v>
      </c>
      <c r="G192">
        <f>Table1[[#This Row],[Weight per order (g)]]/1000</f>
        <v>0.13300000000000001</v>
      </c>
      <c r="H192" s="1">
        <f>CEILING(Table1[[#This Row],[Weight per order (Kg)]],0.5)</f>
        <v>0.5</v>
      </c>
      <c r="I192" t="str">
        <f>_xlfn.XLOOKUP(Table1[[#This Row],[OrderID]],'Courier company invoice'!B:B,'Courier company invoice'!F:F)</f>
        <v>d</v>
      </c>
      <c r="J192" s="1" t="str">
        <f>_xlfn.XLOOKUP(Table1[[#This Row],[OrderID]],Table2[Order ID],Table2[Type of Shipment],"Not Found")</f>
        <v>Forward charges</v>
      </c>
      <c r="K192">
        <f>INDEX(Sheet1[],1,MATCH("fwd_"&amp;Table1[[#This Row],[Zone]]&amp;"_fixed",Sheet1[#Headers],0))</f>
        <v>45.4</v>
      </c>
      <c r="L192">
        <f>INDEX(Sheet1[],1,MATCH("fwd_"&amp;Table1[[#This Row],[Zone]]&amp;"_additional",Sheet1[#Headers],0))</f>
        <v>44.8</v>
      </c>
      <c r="M192" s="1">
        <f>(Table1[[#This Row],[Weight slab]]-0.5)/0.5</f>
        <v>0</v>
      </c>
      <c r="N192" s="1">
        <f>Table1[[#This Row],[Fixed_Charges]]+Table1[[#This Row],[No_of_Extra_slabs]]*Table1[[#This Row],[Additional_Charges]]</f>
        <v>45.4</v>
      </c>
      <c r="O192">
        <f>_xlfn.XLOOKUP(Table1[[#This Row],[OrderID]],'Courier company invoice'!B:B,'Courier company invoice'!H:H)</f>
        <v>90.2</v>
      </c>
      <c r="P192" s="1">
        <f>Table1[[#This Row],[Billing Amount]]-Table1[[#This Row],[Expected charges]]</f>
        <v>44.800000000000004</v>
      </c>
      <c r="Q192" s="1" t="str" cm="1">
        <f t="array" ref="Q19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93" spans="1:17" x14ac:dyDescent="0.3">
      <c r="A193" s="3" t="s">
        <v>58</v>
      </c>
      <c r="B193" s="2">
        <f>Table1[[#This Row],[Order ID]]*1</f>
        <v>2001808992</v>
      </c>
      <c r="C193" s="2">
        <v>8904223818850</v>
      </c>
      <c r="D193">
        <v>1</v>
      </c>
      <c r="E193">
        <f>_xlfn.XLOOKUP(Table1[[#This Row],[SKU (Product Code)]],'SKU Master'!A:A,'SKU Master'!B:B)</f>
        <v>240</v>
      </c>
      <c r="F193">
        <f>Table1[[#This Row],[Product weight]]*Table1[[#This Row],[Order Qty]]</f>
        <v>240</v>
      </c>
      <c r="G193">
        <f>Table1[[#This Row],[Weight per order (g)]]/1000</f>
        <v>0.24</v>
      </c>
      <c r="H193" s="1">
        <f>CEILING(Table1[[#This Row],[Weight per order (Kg)]],0.5)</f>
        <v>0.5</v>
      </c>
      <c r="I193" t="str">
        <f>_xlfn.XLOOKUP(Table1[[#This Row],[OrderID]],'Courier company invoice'!B:B,'Courier company invoice'!F:F)</f>
        <v>d</v>
      </c>
      <c r="J193" s="1" t="str">
        <f>_xlfn.XLOOKUP(Table1[[#This Row],[OrderID]],Table2[Order ID],Table2[Type of Shipment],"Not Found")</f>
        <v>Forward charges</v>
      </c>
      <c r="K193">
        <f>INDEX(Sheet1[],1,MATCH("fwd_"&amp;Table1[[#This Row],[Zone]]&amp;"_fixed",Sheet1[#Headers],0))</f>
        <v>45.4</v>
      </c>
      <c r="L193">
        <f>INDEX(Sheet1[],1,MATCH("fwd_"&amp;Table1[[#This Row],[Zone]]&amp;"_additional",Sheet1[#Headers],0))</f>
        <v>44.8</v>
      </c>
      <c r="M193" s="1">
        <f>(Table1[[#This Row],[Weight slab]]-0.5)/0.5</f>
        <v>0</v>
      </c>
      <c r="N193" s="1">
        <f>Table1[[#This Row],[Fixed_Charges]]+Table1[[#This Row],[No_of_Extra_slabs]]*Table1[[#This Row],[Additional_Charges]]</f>
        <v>45.4</v>
      </c>
      <c r="O193">
        <f>_xlfn.XLOOKUP(Table1[[#This Row],[OrderID]],'Courier company invoice'!B:B,'Courier company invoice'!H:H)</f>
        <v>90.2</v>
      </c>
      <c r="P193" s="1">
        <f>Table1[[#This Row],[Billing Amount]]-Table1[[#This Row],[Expected charges]]</f>
        <v>44.800000000000004</v>
      </c>
      <c r="Q193" s="1" t="str" cm="1">
        <f t="array" ref="Q19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94" spans="1:17" x14ac:dyDescent="0.3">
      <c r="A194" s="3" t="s">
        <v>59</v>
      </c>
      <c r="B194" s="2">
        <f>Table1[[#This Row],[Order ID]]*1</f>
        <v>2001808883</v>
      </c>
      <c r="C194" s="2">
        <v>8904223818706</v>
      </c>
      <c r="D194">
        <v>1</v>
      </c>
      <c r="E194">
        <f>_xlfn.XLOOKUP(Table1[[#This Row],[SKU (Product Code)]],'SKU Master'!A:A,'SKU Master'!B:B)</f>
        <v>127</v>
      </c>
      <c r="F194">
        <f>Table1[[#This Row],[Product weight]]*Table1[[#This Row],[Order Qty]]</f>
        <v>127</v>
      </c>
      <c r="G194">
        <f>Table1[[#This Row],[Weight per order (g)]]/1000</f>
        <v>0.127</v>
      </c>
      <c r="H194" s="1">
        <f>CEILING(Table1[[#This Row],[Weight per order (Kg)]],0.5)</f>
        <v>0.5</v>
      </c>
      <c r="I194" t="str">
        <f>_xlfn.XLOOKUP(Table1[[#This Row],[OrderID]],'Courier company invoice'!B:B,'Courier company invoice'!F:F)</f>
        <v>d</v>
      </c>
      <c r="J194" s="1" t="str">
        <f>_xlfn.XLOOKUP(Table1[[#This Row],[OrderID]],Table2[Order ID],Table2[Type of Shipment],"Not Found")</f>
        <v>Forward charges</v>
      </c>
      <c r="K194">
        <f>INDEX(Sheet1[],1,MATCH("fwd_"&amp;Table1[[#This Row],[Zone]]&amp;"_fixed",Sheet1[#Headers],0))</f>
        <v>45.4</v>
      </c>
      <c r="L194">
        <f>INDEX(Sheet1[],1,MATCH("fwd_"&amp;Table1[[#This Row],[Zone]]&amp;"_additional",Sheet1[#Headers],0))</f>
        <v>44.8</v>
      </c>
      <c r="M194" s="1">
        <f>(Table1[[#This Row],[Weight slab]]-0.5)/0.5</f>
        <v>0</v>
      </c>
      <c r="N194" s="1">
        <f>Table1[[#This Row],[Fixed_Charges]]+Table1[[#This Row],[No_of_Extra_slabs]]*Table1[[#This Row],[Additional_Charges]]</f>
        <v>45.4</v>
      </c>
      <c r="O194">
        <f>_xlfn.XLOOKUP(Table1[[#This Row],[OrderID]],'Courier company invoice'!B:B,'Courier company invoice'!H:H)</f>
        <v>90.2</v>
      </c>
      <c r="P194" s="1">
        <f>Table1[[#This Row],[Billing Amount]]-Table1[[#This Row],[Expected charges]]</f>
        <v>44.800000000000004</v>
      </c>
      <c r="Q194" s="1" t="str" cm="1">
        <f t="array" ref="Q19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95" spans="1:17" x14ac:dyDescent="0.3">
      <c r="A195" s="3" t="s">
        <v>59</v>
      </c>
      <c r="B195" s="2">
        <f>Table1[[#This Row],[Order ID]]*1</f>
        <v>2001808883</v>
      </c>
      <c r="C195" s="2">
        <v>8904223818942</v>
      </c>
      <c r="D195">
        <v>1</v>
      </c>
      <c r="E195">
        <f>_xlfn.XLOOKUP(Table1[[#This Row],[SKU (Product Code)]],'SKU Master'!A:A,'SKU Master'!B:B)</f>
        <v>133</v>
      </c>
      <c r="F195">
        <f>Table1[[#This Row],[Product weight]]*Table1[[#This Row],[Order Qty]]</f>
        <v>133</v>
      </c>
      <c r="G195">
        <f>Table1[[#This Row],[Weight per order (g)]]/1000</f>
        <v>0.13300000000000001</v>
      </c>
      <c r="H195" s="1">
        <f>CEILING(Table1[[#This Row],[Weight per order (Kg)]],0.5)</f>
        <v>0.5</v>
      </c>
      <c r="I195" t="str">
        <f>_xlfn.XLOOKUP(Table1[[#This Row],[OrderID]],'Courier company invoice'!B:B,'Courier company invoice'!F:F)</f>
        <v>d</v>
      </c>
      <c r="J195" s="1" t="str">
        <f>_xlfn.XLOOKUP(Table1[[#This Row],[OrderID]],Table2[Order ID],Table2[Type of Shipment],"Not Found")</f>
        <v>Forward charges</v>
      </c>
      <c r="K195">
        <f>INDEX(Sheet1[],1,MATCH("fwd_"&amp;Table1[[#This Row],[Zone]]&amp;"_fixed",Sheet1[#Headers],0))</f>
        <v>45.4</v>
      </c>
      <c r="L195">
        <f>INDEX(Sheet1[],1,MATCH("fwd_"&amp;Table1[[#This Row],[Zone]]&amp;"_additional",Sheet1[#Headers],0))</f>
        <v>44.8</v>
      </c>
      <c r="M195" s="1">
        <f>(Table1[[#This Row],[Weight slab]]-0.5)/0.5</f>
        <v>0</v>
      </c>
      <c r="N195" s="1">
        <f>Table1[[#This Row],[Fixed_Charges]]+Table1[[#This Row],[No_of_Extra_slabs]]*Table1[[#This Row],[Additional_Charges]]</f>
        <v>45.4</v>
      </c>
      <c r="O195">
        <f>_xlfn.XLOOKUP(Table1[[#This Row],[OrderID]],'Courier company invoice'!B:B,'Courier company invoice'!H:H)</f>
        <v>90.2</v>
      </c>
      <c r="P195" s="1">
        <f>Table1[[#This Row],[Billing Amount]]-Table1[[#This Row],[Expected charges]]</f>
        <v>44.800000000000004</v>
      </c>
      <c r="Q195" s="1" t="str" cm="1">
        <f t="array" ref="Q19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96" spans="1:17" x14ac:dyDescent="0.3">
      <c r="A196" s="3" t="s">
        <v>59</v>
      </c>
      <c r="B196" s="2">
        <f>Table1[[#This Row],[Order ID]]*1</f>
        <v>2001808883</v>
      </c>
      <c r="C196" s="2">
        <v>8904223818850</v>
      </c>
      <c r="D196">
        <v>1</v>
      </c>
      <c r="E196">
        <f>_xlfn.XLOOKUP(Table1[[#This Row],[SKU (Product Code)]],'SKU Master'!A:A,'SKU Master'!B:B)</f>
        <v>240</v>
      </c>
      <c r="F196">
        <f>Table1[[#This Row],[Product weight]]*Table1[[#This Row],[Order Qty]]</f>
        <v>240</v>
      </c>
      <c r="G196">
        <f>Table1[[#This Row],[Weight per order (g)]]/1000</f>
        <v>0.24</v>
      </c>
      <c r="H196" s="1">
        <f>CEILING(Table1[[#This Row],[Weight per order (Kg)]],0.5)</f>
        <v>0.5</v>
      </c>
      <c r="I196" t="str">
        <f>_xlfn.XLOOKUP(Table1[[#This Row],[OrderID]],'Courier company invoice'!B:B,'Courier company invoice'!F:F)</f>
        <v>d</v>
      </c>
      <c r="J196" s="1" t="str">
        <f>_xlfn.XLOOKUP(Table1[[#This Row],[OrderID]],Table2[Order ID],Table2[Type of Shipment],"Not Found")</f>
        <v>Forward charges</v>
      </c>
      <c r="K196">
        <f>INDEX(Sheet1[],1,MATCH("fwd_"&amp;Table1[[#This Row],[Zone]]&amp;"_fixed",Sheet1[#Headers],0))</f>
        <v>45.4</v>
      </c>
      <c r="L196">
        <f>INDEX(Sheet1[],1,MATCH("fwd_"&amp;Table1[[#This Row],[Zone]]&amp;"_additional",Sheet1[#Headers],0))</f>
        <v>44.8</v>
      </c>
      <c r="M196" s="1">
        <f>(Table1[[#This Row],[Weight slab]]-0.5)/0.5</f>
        <v>0</v>
      </c>
      <c r="N196" s="1">
        <f>Table1[[#This Row],[Fixed_Charges]]+Table1[[#This Row],[No_of_Extra_slabs]]*Table1[[#This Row],[Additional_Charges]]</f>
        <v>45.4</v>
      </c>
      <c r="O196">
        <f>_xlfn.XLOOKUP(Table1[[#This Row],[OrderID]],'Courier company invoice'!B:B,'Courier company invoice'!H:H)</f>
        <v>90.2</v>
      </c>
      <c r="P196" s="1">
        <f>Table1[[#This Row],[Billing Amount]]-Table1[[#This Row],[Expected charges]]</f>
        <v>44.800000000000004</v>
      </c>
      <c r="Q196" s="1" t="str" cm="1">
        <f t="array" ref="Q19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97" spans="1:17" x14ac:dyDescent="0.3">
      <c r="A197" s="3" t="s">
        <v>60</v>
      </c>
      <c r="B197" s="2">
        <f>Table1[[#This Row],[Order ID]]*1</f>
        <v>2001808837</v>
      </c>
      <c r="C197" s="2">
        <v>8904223818706</v>
      </c>
      <c r="D197">
        <v>1</v>
      </c>
      <c r="E197">
        <f>_xlfn.XLOOKUP(Table1[[#This Row],[SKU (Product Code)]],'SKU Master'!A:A,'SKU Master'!B:B)</f>
        <v>127</v>
      </c>
      <c r="F197">
        <f>Table1[[#This Row],[Product weight]]*Table1[[#This Row],[Order Qty]]</f>
        <v>127</v>
      </c>
      <c r="G197">
        <f>Table1[[#This Row],[Weight per order (g)]]/1000</f>
        <v>0.127</v>
      </c>
      <c r="H197" s="1">
        <f>CEILING(Table1[[#This Row],[Weight per order (Kg)]],0.5)</f>
        <v>0.5</v>
      </c>
      <c r="I197" t="str">
        <f>_xlfn.XLOOKUP(Table1[[#This Row],[OrderID]],'Courier company invoice'!B:B,'Courier company invoice'!F:F)</f>
        <v>d</v>
      </c>
      <c r="J197" s="1" t="str">
        <f>_xlfn.XLOOKUP(Table1[[#This Row],[OrderID]],Table2[Order ID],Table2[Type of Shipment],"Not Found")</f>
        <v>Forward charges</v>
      </c>
      <c r="K197">
        <f>INDEX(Sheet1[],1,MATCH("fwd_"&amp;Table1[[#This Row],[Zone]]&amp;"_fixed",Sheet1[#Headers],0))</f>
        <v>45.4</v>
      </c>
      <c r="L197">
        <f>INDEX(Sheet1[],1,MATCH("fwd_"&amp;Table1[[#This Row],[Zone]]&amp;"_additional",Sheet1[#Headers],0))</f>
        <v>44.8</v>
      </c>
      <c r="M197" s="1">
        <f>(Table1[[#This Row],[Weight slab]]-0.5)/0.5</f>
        <v>0</v>
      </c>
      <c r="N197" s="1">
        <f>Table1[[#This Row],[Fixed_Charges]]+Table1[[#This Row],[No_of_Extra_slabs]]*Table1[[#This Row],[Additional_Charges]]</f>
        <v>45.4</v>
      </c>
      <c r="O197">
        <f>_xlfn.XLOOKUP(Table1[[#This Row],[OrderID]],'Courier company invoice'!B:B,'Courier company invoice'!H:H)</f>
        <v>90.2</v>
      </c>
      <c r="P197" s="1">
        <f>Table1[[#This Row],[Billing Amount]]-Table1[[#This Row],[Expected charges]]</f>
        <v>44.800000000000004</v>
      </c>
      <c r="Q197" s="1" t="str" cm="1">
        <f t="array" ref="Q19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98" spans="1:17" x14ac:dyDescent="0.3">
      <c r="A198" s="3" t="s">
        <v>60</v>
      </c>
      <c r="B198" s="2">
        <f>Table1[[#This Row],[Order ID]]*1</f>
        <v>2001808837</v>
      </c>
      <c r="C198" s="2">
        <v>8904223818942</v>
      </c>
      <c r="D198">
        <v>1</v>
      </c>
      <c r="E198">
        <f>_xlfn.XLOOKUP(Table1[[#This Row],[SKU (Product Code)]],'SKU Master'!A:A,'SKU Master'!B:B)</f>
        <v>133</v>
      </c>
      <c r="F198">
        <f>Table1[[#This Row],[Product weight]]*Table1[[#This Row],[Order Qty]]</f>
        <v>133</v>
      </c>
      <c r="G198">
        <f>Table1[[#This Row],[Weight per order (g)]]/1000</f>
        <v>0.13300000000000001</v>
      </c>
      <c r="H198" s="1">
        <f>CEILING(Table1[[#This Row],[Weight per order (Kg)]],0.5)</f>
        <v>0.5</v>
      </c>
      <c r="I198" t="str">
        <f>_xlfn.XLOOKUP(Table1[[#This Row],[OrderID]],'Courier company invoice'!B:B,'Courier company invoice'!F:F)</f>
        <v>d</v>
      </c>
      <c r="J198" s="1" t="str">
        <f>_xlfn.XLOOKUP(Table1[[#This Row],[OrderID]],Table2[Order ID],Table2[Type of Shipment],"Not Found")</f>
        <v>Forward charges</v>
      </c>
      <c r="K198">
        <f>INDEX(Sheet1[],1,MATCH("fwd_"&amp;Table1[[#This Row],[Zone]]&amp;"_fixed",Sheet1[#Headers],0))</f>
        <v>45.4</v>
      </c>
      <c r="L198">
        <f>INDEX(Sheet1[],1,MATCH("fwd_"&amp;Table1[[#This Row],[Zone]]&amp;"_additional",Sheet1[#Headers],0))</f>
        <v>44.8</v>
      </c>
      <c r="M198" s="1">
        <f>(Table1[[#This Row],[Weight slab]]-0.5)/0.5</f>
        <v>0</v>
      </c>
      <c r="N198" s="1">
        <f>Table1[[#This Row],[Fixed_Charges]]+Table1[[#This Row],[No_of_Extra_slabs]]*Table1[[#This Row],[Additional_Charges]]</f>
        <v>45.4</v>
      </c>
      <c r="O198">
        <f>_xlfn.XLOOKUP(Table1[[#This Row],[OrderID]],'Courier company invoice'!B:B,'Courier company invoice'!H:H)</f>
        <v>90.2</v>
      </c>
      <c r="P198" s="1">
        <f>Table1[[#This Row],[Billing Amount]]-Table1[[#This Row],[Expected charges]]</f>
        <v>44.800000000000004</v>
      </c>
      <c r="Q198" s="1" t="str" cm="1">
        <f t="array" ref="Q19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199" spans="1:17" x14ac:dyDescent="0.3">
      <c r="A199" s="3" t="s">
        <v>60</v>
      </c>
      <c r="B199" s="2">
        <f>Table1[[#This Row],[Order ID]]*1</f>
        <v>2001808837</v>
      </c>
      <c r="C199" s="2">
        <v>8904223818850</v>
      </c>
      <c r="D199">
        <v>1</v>
      </c>
      <c r="E199">
        <f>_xlfn.XLOOKUP(Table1[[#This Row],[SKU (Product Code)]],'SKU Master'!A:A,'SKU Master'!B:B)</f>
        <v>240</v>
      </c>
      <c r="F199">
        <f>Table1[[#This Row],[Product weight]]*Table1[[#This Row],[Order Qty]]</f>
        <v>240</v>
      </c>
      <c r="G199">
        <f>Table1[[#This Row],[Weight per order (g)]]/1000</f>
        <v>0.24</v>
      </c>
      <c r="H199" s="1">
        <f>CEILING(Table1[[#This Row],[Weight per order (Kg)]],0.5)</f>
        <v>0.5</v>
      </c>
      <c r="I199" t="str">
        <f>_xlfn.XLOOKUP(Table1[[#This Row],[OrderID]],'Courier company invoice'!B:B,'Courier company invoice'!F:F)</f>
        <v>d</v>
      </c>
      <c r="J199" s="1" t="str">
        <f>_xlfn.XLOOKUP(Table1[[#This Row],[OrderID]],Table2[Order ID],Table2[Type of Shipment],"Not Found")</f>
        <v>Forward charges</v>
      </c>
      <c r="K199">
        <f>INDEX(Sheet1[],1,MATCH("fwd_"&amp;Table1[[#This Row],[Zone]]&amp;"_fixed",Sheet1[#Headers],0))</f>
        <v>45.4</v>
      </c>
      <c r="L199">
        <f>INDEX(Sheet1[],1,MATCH("fwd_"&amp;Table1[[#This Row],[Zone]]&amp;"_additional",Sheet1[#Headers],0))</f>
        <v>44.8</v>
      </c>
      <c r="M199" s="1">
        <f>(Table1[[#This Row],[Weight slab]]-0.5)/0.5</f>
        <v>0</v>
      </c>
      <c r="N199" s="1">
        <f>Table1[[#This Row],[Fixed_Charges]]+Table1[[#This Row],[No_of_Extra_slabs]]*Table1[[#This Row],[Additional_Charges]]</f>
        <v>45.4</v>
      </c>
      <c r="O199">
        <f>_xlfn.XLOOKUP(Table1[[#This Row],[OrderID]],'Courier company invoice'!B:B,'Courier company invoice'!H:H)</f>
        <v>90.2</v>
      </c>
      <c r="P199" s="1">
        <f>Table1[[#This Row],[Billing Amount]]-Table1[[#This Row],[Expected charges]]</f>
        <v>44.800000000000004</v>
      </c>
      <c r="Q199" s="1" t="str" cm="1">
        <f t="array" ref="Q19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00" spans="1:17" x14ac:dyDescent="0.3">
      <c r="A200" s="3" t="s">
        <v>61</v>
      </c>
      <c r="B200" s="2">
        <f>Table1[[#This Row],[Order ID]]*1</f>
        <v>2001808832</v>
      </c>
      <c r="C200" s="2">
        <v>8904223819338</v>
      </c>
      <c r="D200">
        <v>1</v>
      </c>
      <c r="E200">
        <f>_xlfn.XLOOKUP(Table1[[#This Row],[SKU (Product Code)]],'SKU Master'!A:A,'SKU Master'!B:B)</f>
        <v>600</v>
      </c>
      <c r="F200">
        <f>Table1[[#This Row],[Product weight]]*Table1[[#This Row],[Order Qty]]</f>
        <v>600</v>
      </c>
      <c r="G200">
        <f>Table1[[#This Row],[Weight per order (g)]]/1000</f>
        <v>0.6</v>
      </c>
      <c r="H200" s="1">
        <f>CEILING(Table1[[#This Row],[Weight per order (Kg)]],0.5)</f>
        <v>1</v>
      </c>
      <c r="I200" t="str">
        <f>_xlfn.XLOOKUP(Table1[[#This Row],[OrderID]],'Courier company invoice'!B:B,'Courier company invoice'!F:F)</f>
        <v>d</v>
      </c>
      <c r="J200" s="1" t="str">
        <f>_xlfn.XLOOKUP(Table1[[#This Row],[OrderID]],Table2[Order ID],Table2[Type of Shipment],"Not Found")</f>
        <v>Forward charges</v>
      </c>
      <c r="K200">
        <f>INDEX(Sheet1[],1,MATCH("fwd_"&amp;Table1[[#This Row],[Zone]]&amp;"_fixed",Sheet1[#Headers],0))</f>
        <v>45.4</v>
      </c>
      <c r="L200">
        <f>INDEX(Sheet1[],1,MATCH("fwd_"&amp;Table1[[#This Row],[Zone]]&amp;"_additional",Sheet1[#Headers],0))</f>
        <v>44.8</v>
      </c>
      <c r="M200" s="1">
        <f>(Table1[[#This Row],[Weight slab]]-0.5)/0.5</f>
        <v>1</v>
      </c>
      <c r="N200" s="1">
        <f>Table1[[#This Row],[Fixed_Charges]]+Table1[[#This Row],[No_of_Extra_slabs]]*Table1[[#This Row],[Additional_Charges]]</f>
        <v>90.199999999999989</v>
      </c>
      <c r="O200">
        <f>_xlfn.XLOOKUP(Table1[[#This Row],[OrderID]],'Courier company invoice'!B:B,'Courier company invoice'!H:H)</f>
        <v>224.6</v>
      </c>
      <c r="P200" s="1">
        <f>Table1[[#This Row],[Billing Amount]]-Table1[[#This Row],[Expected charges]]</f>
        <v>134.4</v>
      </c>
      <c r="Q200" s="1" t="str" cm="1">
        <f t="array" ref="Q20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01" spans="1:17" x14ac:dyDescent="0.3">
      <c r="A201" s="3" t="s">
        <v>62</v>
      </c>
      <c r="B201" s="2">
        <f>Table1[[#This Row],[Order ID]]*1</f>
        <v>2001808801</v>
      </c>
      <c r="C201" s="2">
        <v>8904223817273</v>
      </c>
      <c r="D201">
        <v>2</v>
      </c>
      <c r="E201">
        <f>_xlfn.XLOOKUP(Table1[[#This Row],[SKU (Product Code)]],'SKU Master'!A:A,'SKU Master'!B:B)</f>
        <v>65</v>
      </c>
      <c r="F201">
        <f>Table1[[#This Row],[Product weight]]*Table1[[#This Row],[Order Qty]]</f>
        <v>130</v>
      </c>
      <c r="G201">
        <f>Table1[[#This Row],[Weight per order (g)]]/1000</f>
        <v>0.13</v>
      </c>
      <c r="H201" s="1">
        <f>CEILING(Table1[[#This Row],[Weight per order (Kg)]],0.5)</f>
        <v>0.5</v>
      </c>
      <c r="I201" t="str">
        <f>_xlfn.XLOOKUP(Table1[[#This Row],[OrderID]],'Courier company invoice'!B:B,'Courier company invoice'!F:F)</f>
        <v>d</v>
      </c>
      <c r="J201" s="1" t="str">
        <f>_xlfn.XLOOKUP(Table1[[#This Row],[OrderID]],Table2[Order ID],Table2[Type of Shipment],"Not Found")</f>
        <v>Forward charges</v>
      </c>
      <c r="K201">
        <f>INDEX(Sheet1[],1,MATCH("fwd_"&amp;Table1[[#This Row],[Zone]]&amp;"_fixed",Sheet1[#Headers],0))</f>
        <v>45.4</v>
      </c>
      <c r="L201">
        <f>INDEX(Sheet1[],1,MATCH("fwd_"&amp;Table1[[#This Row],[Zone]]&amp;"_additional",Sheet1[#Headers],0))</f>
        <v>44.8</v>
      </c>
      <c r="M201" s="1">
        <f>(Table1[[#This Row],[Weight slab]]-0.5)/0.5</f>
        <v>0</v>
      </c>
      <c r="N201" s="1">
        <f>Table1[[#This Row],[Fixed_Charges]]+Table1[[#This Row],[No_of_Extra_slabs]]*Table1[[#This Row],[Additional_Charges]]</f>
        <v>45.4</v>
      </c>
      <c r="O201">
        <f>_xlfn.XLOOKUP(Table1[[#This Row],[OrderID]],'Courier company invoice'!B:B,'Courier company invoice'!H:H)</f>
        <v>90.2</v>
      </c>
      <c r="P201" s="1">
        <f>Table1[[#This Row],[Billing Amount]]-Table1[[#This Row],[Expected charges]]</f>
        <v>44.800000000000004</v>
      </c>
      <c r="Q201" s="1" t="str" cm="1">
        <f t="array" ref="Q20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02" spans="1:17" x14ac:dyDescent="0.3">
      <c r="A202" s="3" t="s">
        <v>62</v>
      </c>
      <c r="B202" s="2">
        <f>Table1[[#This Row],[Order ID]]*1</f>
        <v>2001808801</v>
      </c>
      <c r="C202" s="2">
        <v>8904223815866</v>
      </c>
      <c r="D202">
        <v>2</v>
      </c>
      <c r="E202">
        <f>_xlfn.XLOOKUP(Table1[[#This Row],[SKU (Product Code)]],'SKU Master'!A:A,'SKU Master'!B:B)</f>
        <v>113</v>
      </c>
      <c r="F202">
        <f>Table1[[#This Row],[Product weight]]*Table1[[#This Row],[Order Qty]]</f>
        <v>226</v>
      </c>
      <c r="G202">
        <f>Table1[[#This Row],[Weight per order (g)]]/1000</f>
        <v>0.22600000000000001</v>
      </c>
      <c r="H202" s="1">
        <f>CEILING(Table1[[#This Row],[Weight per order (Kg)]],0.5)</f>
        <v>0.5</v>
      </c>
      <c r="I202" t="str">
        <f>_xlfn.XLOOKUP(Table1[[#This Row],[OrderID]],'Courier company invoice'!B:B,'Courier company invoice'!F:F)</f>
        <v>d</v>
      </c>
      <c r="J202" s="1" t="str">
        <f>_xlfn.XLOOKUP(Table1[[#This Row],[OrderID]],Table2[Order ID],Table2[Type of Shipment],"Not Found")</f>
        <v>Forward charges</v>
      </c>
      <c r="K202">
        <f>INDEX(Sheet1[],1,MATCH("fwd_"&amp;Table1[[#This Row],[Zone]]&amp;"_fixed",Sheet1[#Headers],0))</f>
        <v>45.4</v>
      </c>
      <c r="L202">
        <f>INDEX(Sheet1[],1,MATCH("fwd_"&amp;Table1[[#This Row],[Zone]]&amp;"_additional",Sheet1[#Headers],0))</f>
        <v>44.8</v>
      </c>
      <c r="M202" s="1">
        <f>(Table1[[#This Row],[Weight slab]]-0.5)/0.5</f>
        <v>0</v>
      </c>
      <c r="N202" s="1">
        <f>Table1[[#This Row],[Fixed_Charges]]+Table1[[#This Row],[No_of_Extra_slabs]]*Table1[[#This Row],[Additional_Charges]]</f>
        <v>45.4</v>
      </c>
      <c r="O202">
        <f>_xlfn.XLOOKUP(Table1[[#This Row],[OrderID]],'Courier company invoice'!B:B,'Courier company invoice'!H:H)</f>
        <v>90.2</v>
      </c>
      <c r="P202" s="1">
        <f>Table1[[#This Row],[Billing Amount]]-Table1[[#This Row],[Expected charges]]</f>
        <v>44.800000000000004</v>
      </c>
      <c r="Q202" s="1" t="str" cm="1">
        <f t="array" ref="Q20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03" spans="1:17" x14ac:dyDescent="0.3">
      <c r="A203" s="3" t="s">
        <v>62</v>
      </c>
      <c r="B203" s="2">
        <f>Table1[[#This Row],[Order ID]]*1</f>
        <v>2001808801</v>
      </c>
      <c r="C203" s="2">
        <v>8904223815859</v>
      </c>
      <c r="D203">
        <v>1</v>
      </c>
      <c r="E203">
        <f>_xlfn.XLOOKUP(Table1[[#This Row],[SKU (Product Code)]],'SKU Master'!A:A,'SKU Master'!B:B)</f>
        <v>165</v>
      </c>
      <c r="F203">
        <f>Table1[[#This Row],[Product weight]]*Table1[[#This Row],[Order Qty]]</f>
        <v>165</v>
      </c>
      <c r="G203">
        <f>Table1[[#This Row],[Weight per order (g)]]/1000</f>
        <v>0.16500000000000001</v>
      </c>
      <c r="H203" s="1">
        <f>CEILING(Table1[[#This Row],[Weight per order (Kg)]],0.5)</f>
        <v>0.5</v>
      </c>
      <c r="I203" t="str">
        <f>_xlfn.XLOOKUP(Table1[[#This Row],[OrderID]],'Courier company invoice'!B:B,'Courier company invoice'!F:F)</f>
        <v>d</v>
      </c>
      <c r="J203" s="1" t="str">
        <f>_xlfn.XLOOKUP(Table1[[#This Row],[OrderID]],Table2[Order ID],Table2[Type of Shipment],"Not Found")</f>
        <v>Forward charges</v>
      </c>
      <c r="K203">
        <f>INDEX(Sheet1[],1,MATCH("fwd_"&amp;Table1[[#This Row],[Zone]]&amp;"_fixed",Sheet1[#Headers],0))</f>
        <v>45.4</v>
      </c>
      <c r="L203">
        <f>INDEX(Sheet1[],1,MATCH("fwd_"&amp;Table1[[#This Row],[Zone]]&amp;"_additional",Sheet1[#Headers],0))</f>
        <v>44.8</v>
      </c>
      <c r="M203" s="1">
        <f>(Table1[[#This Row],[Weight slab]]-0.5)/0.5</f>
        <v>0</v>
      </c>
      <c r="N203" s="1">
        <f>Table1[[#This Row],[Fixed_Charges]]+Table1[[#This Row],[No_of_Extra_slabs]]*Table1[[#This Row],[Additional_Charges]]</f>
        <v>45.4</v>
      </c>
      <c r="O203">
        <f>_xlfn.XLOOKUP(Table1[[#This Row],[OrderID]],'Courier company invoice'!B:B,'Courier company invoice'!H:H)</f>
        <v>90.2</v>
      </c>
      <c r="P203" s="1">
        <f>Table1[[#This Row],[Billing Amount]]-Table1[[#This Row],[Expected charges]]</f>
        <v>44.800000000000004</v>
      </c>
      <c r="Q203" s="1" t="str" cm="1">
        <f t="array" ref="Q20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04" spans="1:17" x14ac:dyDescent="0.3">
      <c r="A204" s="3" t="s">
        <v>62</v>
      </c>
      <c r="B204" s="2">
        <f>Table1[[#This Row],[Order ID]]*1</f>
        <v>2001808801</v>
      </c>
      <c r="C204" s="2">
        <v>8904223815682</v>
      </c>
      <c r="D204">
        <v>1</v>
      </c>
      <c r="E204">
        <f>_xlfn.XLOOKUP(Table1[[#This Row],[SKU (Product Code)]],'SKU Master'!A:A,'SKU Master'!B:B)</f>
        <v>210</v>
      </c>
      <c r="F204">
        <f>Table1[[#This Row],[Product weight]]*Table1[[#This Row],[Order Qty]]</f>
        <v>210</v>
      </c>
      <c r="G204">
        <f>Table1[[#This Row],[Weight per order (g)]]/1000</f>
        <v>0.21</v>
      </c>
      <c r="H204" s="1">
        <f>CEILING(Table1[[#This Row],[Weight per order (Kg)]],0.5)</f>
        <v>0.5</v>
      </c>
      <c r="I204" t="str">
        <f>_xlfn.XLOOKUP(Table1[[#This Row],[OrderID]],'Courier company invoice'!B:B,'Courier company invoice'!F:F)</f>
        <v>d</v>
      </c>
      <c r="J204" s="1" t="str">
        <f>_xlfn.XLOOKUP(Table1[[#This Row],[OrderID]],Table2[Order ID],Table2[Type of Shipment],"Not Found")</f>
        <v>Forward charges</v>
      </c>
      <c r="K204">
        <f>INDEX(Sheet1[],1,MATCH("fwd_"&amp;Table1[[#This Row],[Zone]]&amp;"_fixed",Sheet1[#Headers],0))</f>
        <v>45.4</v>
      </c>
      <c r="L204">
        <f>INDEX(Sheet1[],1,MATCH("fwd_"&amp;Table1[[#This Row],[Zone]]&amp;"_additional",Sheet1[#Headers],0))</f>
        <v>44.8</v>
      </c>
      <c r="M204" s="1">
        <f>(Table1[[#This Row],[Weight slab]]-0.5)/0.5</f>
        <v>0</v>
      </c>
      <c r="N204" s="1">
        <f>Table1[[#This Row],[Fixed_Charges]]+Table1[[#This Row],[No_of_Extra_slabs]]*Table1[[#This Row],[Additional_Charges]]</f>
        <v>45.4</v>
      </c>
      <c r="O204">
        <f>_xlfn.XLOOKUP(Table1[[#This Row],[OrderID]],'Courier company invoice'!B:B,'Courier company invoice'!H:H)</f>
        <v>90.2</v>
      </c>
      <c r="P204" s="1">
        <f>Table1[[#This Row],[Billing Amount]]-Table1[[#This Row],[Expected charges]]</f>
        <v>44.800000000000004</v>
      </c>
      <c r="Q204" s="1" t="str" cm="1">
        <f t="array" ref="Q20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05" spans="1:17" x14ac:dyDescent="0.3">
      <c r="A205" s="3" t="s">
        <v>63</v>
      </c>
      <c r="B205" s="2">
        <f>Table1[[#This Row],[Order ID]]*1</f>
        <v>2001808739</v>
      </c>
      <c r="C205" s="2">
        <v>8904223816214</v>
      </c>
      <c r="D205">
        <v>1</v>
      </c>
      <c r="E205">
        <f>_xlfn.XLOOKUP(Table1[[#This Row],[SKU (Product Code)]],'SKU Master'!A:A,'SKU Master'!B:B)</f>
        <v>120</v>
      </c>
      <c r="F205">
        <f>Table1[[#This Row],[Product weight]]*Table1[[#This Row],[Order Qty]]</f>
        <v>120</v>
      </c>
      <c r="G205">
        <f>Table1[[#This Row],[Weight per order (g)]]/1000</f>
        <v>0.12</v>
      </c>
      <c r="H205" s="1">
        <f>CEILING(Table1[[#This Row],[Weight per order (Kg)]],0.5)</f>
        <v>0.5</v>
      </c>
      <c r="I205" t="str">
        <f>_xlfn.XLOOKUP(Table1[[#This Row],[OrderID]],'Courier company invoice'!B:B,'Courier company invoice'!F:F)</f>
        <v>d</v>
      </c>
      <c r="J205" s="1" t="str">
        <f>_xlfn.XLOOKUP(Table1[[#This Row],[OrderID]],Table2[Order ID],Table2[Type of Shipment],"Not Found")</f>
        <v>Forward charges</v>
      </c>
      <c r="K205">
        <f>INDEX(Sheet1[],1,MATCH("fwd_"&amp;Table1[[#This Row],[Zone]]&amp;"_fixed",Sheet1[#Headers],0))</f>
        <v>45.4</v>
      </c>
      <c r="L205">
        <f>INDEX(Sheet1[],1,MATCH("fwd_"&amp;Table1[[#This Row],[Zone]]&amp;"_additional",Sheet1[#Headers],0))</f>
        <v>44.8</v>
      </c>
      <c r="M205" s="1">
        <f>(Table1[[#This Row],[Weight slab]]-0.5)/0.5</f>
        <v>0</v>
      </c>
      <c r="N205" s="1">
        <f>Table1[[#This Row],[Fixed_Charges]]+Table1[[#This Row],[No_of_Extra_slabs]]*Table1[[#This Row],[Additional_Charges]]</f>
        <v>45.4</v>
      </c>
      <c r="O205">
        <f>_xlfn.XLOOKUP(Table1[[#This Row],[OrderID]],'Courier company invoice'!B:B,'Courier company invoice'!H:H)</f>
        <v>179.8</v>
      </c>
      <c r="P205" s="1">
        <f>Table1[[#This Row],[Billing Amount]]-Table1[[#This Row],[Expected charges]]</f>
        <v>134.4</v>
      </c>
      <c r="Q205" s="1" t="str" cm="1">
        <f t="array" ref="Q20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06" spans="1:17" x14ac:dyDescent="0.3">
      <c r="A206" s="3" t="s">
        <v>63</v>
      </c>
      <c r="B206" s="2">
        <f>Table1[[#This Row],[Order ID]]*1</f>
        <v>2001808739</v>
      </c>
      <c r="C206" s="2">
        <v>8904223818874</v>
      </c>
      <c r="D206">
        <v>1</v>
      </c>
      <c r="E206">
        <f>_xlfn.XLOOKUP(Table1[[#This Row],[SKU (Product Code)]],'SKU Master'!A:A,'SKU Master'!B:B)</f>
        <v>100</v>
      </c>
      <c r="F206">
        <f>Table1[[#This Row],[Product weight]]*Table1[[#This Row],[Order Qty]]</f>
        <v>100</v>
      </c>
      <c r="G206">
        <f>Table1[[#This Row],[Weight per order (g)]]/1000</f>
        <v>0.1</v>
      </c>
      <c r="H206" s="1">
        <f>CEILING(Table1[[#This Row],[Weight per order (Kg)]],0.5)</f>
        <v>0.5</v>
      </c>
      <c r="I206" t="str">
        <f>_xlfn.XLOOKUP(Table1[[#This Row],[OrderID]],'Courier company invoice'!B:B,'Courier company invoice'!F:F)</f>
        <v>d</v>
      </c>
      <c r="J206" s="1" t="str">
        <f>_xlfn.XLOOKUP(Table1[[#This Row],[OrderID]],Table2[Order ID],Table2[Type of Shipment],"Not Found")</f>
        <v>Forward charges</v>
      </c>
      <c r="K206">
        <f>INDEX(Sheet1[],1,MATCH("fwd_"&amp;Table1[[#This Row],[Zone]]&amp;"_fixed",Sheet1[#Headers],0))</f>
        <v>45.4</v>
      </c>
      <c r="L206">
        <f>INDEX(Sheet1[],1,MATCH("fwd_"&amp;Table1[[#This Row],[Zone]]&amp;"_additional",Sheet1[#Headers],0))</f>
        <v>44.8</v>
      </c>
      <c r="M206" s="1">
        <f>(Table1[[#This Row],[Weight slab]]-0.5)/0.5</f>
        <v>0</v>
      </c>
      <c r="N206" s="1">
        <f>Table1[[#This Row],[Fixed_Charges]]+Table1[[#This Row],[No_of_Extra_slabs]]*Table1[[#This Row],[Additional_Charges]]</f>
        <v>45.4</v>
      </c>
      <c r="O206">
        <f>_xlfn.XLOOKUP(Table1[[#This Row],[OrderID]],'Courier company invoice'!B:B,'Courier company invoice'!H:H)</f>
        <v>179.8</v>
      </c>
      <c r="P206" s="1">
        <f>Table1[[#This Row],[Billing Amount]]-Table1[[#This Row],[Expected charges]]</f>
        <v>134.4</v>
      </c>
      <c r="Q206" s="1" t="str" cm="1">
        <f t="array" ref="Q20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07" spans="1:17" x14ac:dyDescent="0.3">
      <c r="A207" s="3" t="s">
        <v>64</v>
      </c>
      <c r="B207" s="2">
        <f>Table1[[#This Row],[Order ID]]*1</f>
        <v>2001808679</v>
      </c>
      <c r="C207" s="2">
        <v>8904223818706</v>
      </c>
      <c r="D207">
        <v>1</v>
      </c>
      <c r="E207">
        <f>_xlfn.XLOOKUP(Table1[[#This Row],[SKU (Product Code)]],'SKU Master'!A:A,'SKU Master'!B:B)</f>
        <v>127</v>
      </c>
      <c r="F207">
        <f>Table1[[#This Row],[Product weight]]*Table1[[#This Row],[Order Qty]]</f>
        <v>127</v>
      </c>
      <c r="G207">
        <f>Table1[[#This Row],[Weight per order (g)]]/1000</f>
        <v>0.127</v>
      </c>
      <c r="H207" s="1">
        <f>CEILING(Table1[[#This Row],[Weight per order (Kg)]],0.5)</f>
        <v>0.5</v>
      </c>
      <c r="I207" t="str">
        <f>_xlfn.XLOOKUP(Table1[[#This Row],[OrderID]],'Courier company invoice'!B:B,'Courier company invoice'!F:F)</f>
        <v>d</v>
      </c>
      <c r="J207" s="1" t="str">
        <f>_xlfn.XLOOKUP(Table1[[#This Row],[OrderID]],Table2[Order ID],Table2[Type of Shipment],"Not Found")</f>
        <v>Forward charges</v>
      </c>
      <c r="K207">
        <f>INDEX(Sheet1[],1,MATCH("fwd_"&amp;Table1[[#This Row],[Zone]]&amp;"_fixed",Sheet1[#Headers],0))</f>
        <v>45.4</v>
      </c>
      <c r="L207">
        <f>INDEX(Sheet1[],1,MATCH("fwd_"&amp;Table1[[#This Row],[Zone]]&amp;"_additional",Sheet1[#Headers],0))</f>
        <v>44.8</v>
      </c>
      <c r="M207" s="1">
        <f>(Table1[[#This Row],[Weight slab]]-0.5)/0.5</f>
        <v>0</v>
      </c>
      <c r="N207" s="1">
        <f>Table1[[#This Row],[Fixed_Charges]]+Table1[[#This Row],[No_of_Extra_slabs]]*Table1[[#This Row],[Additional_Charges]]</f>
        <v>45.4</v>
      </c>
      <c r="O207">
        <f>_xlfn.XLOOKUP(Table1[[#This Row],[OrderID]],'Courier company invoice'!B:B,'Courier company invoice'!H:H)</f>
        <v>90.2</v>
      </c>
      <c r="P207" s="1">
        <f>Table1[[#This Row],[Billing Amount]]-Table1[[#This Row],[Expected charges]]</f>
        <v>44.800000000000004</v>
      </c>
      <c r="Q207" s="1" t="str" cm="1">
        <f t="array" ref="Q20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08" spans="1:17" x14ac:dyDescent="0.3">
      <c r="A208" s="3" t="s">
        <v>64</v>
      </c>
      <c r="B208" s="2">
        <f>Table1[[#This Row],[Order ID]]*1</f>
        <v>2001808679</v>
      </c>
      <c r="C208" s="2">
        <v>8904223818942</v>
      </c>
      <c r="D208">
        <v>1</v>
      </c>
      <c r="E208">
        <f>_xlfn.XLOOKUP(Table1[[#This Row],[SKU (Product Code)]],'SKU Master'!A:A,'SKU Master'!B:B)</f>
        <v>133</v>
      </c>
      <c r="F208">
        <f>Table1[[#This Row],[Product weight]]*Table1[[#This Row],[Order Qty]]</f>
        <v>133</v>
      </c>
      <c r="G208">
        <f>Table1[[#This Row],[Weight per order (g)]]/1000</f>
        <v>0.13300000000000001</v>
      </c>
      <c r="H208" s="1">
        <f>CEILING(Table1[[#This Row],[Weight per order (Kg)]],0.5)</f>
        <v>0.5</v>
      </c>
      <c r="I208" t="str">
        <f>_xlfn.XLOOKUP(Table1[[#This Row],[OrderID]],'Courier company invoice'!B:B,'Courier company invoice'!F:F)</f>
        <v>d</v>
      </c>
      <c r="J208" s="1" t="str">
        <f>_xlfn.XLOOKUP(Table1[[#This Row],[OrderID]],Table2[Order ID],Table2[Type of Shipment],"Not Found")</f>
        <v>Forward charges</v>
      </c>
      <c r="K208">
        <f>INDEX(Sheet1[],1,MATCH("fwd_"&amp;Table1[[#This Row],[Zone]]&amp;"_fixed",Sheet1[#Headers],0))</f>
        <v>45.4</v>
      </c>
      <c r="L208">
        <f>INDEX(Sheet1[],1,MATCH("fwd_"&amp;Table1[[#This Row],[Zone]]&amp;"_additional",Sheet1[#Headers],0))</f>
        <v>44.8</v>
      </c>
      <c r="M208" s="1">
        <f>(Table1[[#This Row],[Weight slab]]-0.5)/0.5</f>
        <v>0</v>
      </c>
      <c r="N208" s="1">
        <f>Table1[[#This Row],[Fixed_Charges]]+Table1[[#This Row],[No_of_Extra_slabs]]*Table1[[#This Row],[Additional_Charges]]</f>
        <v>45.4</v>
      </c>
      <c r="O208">
        <f>_xlfn.XLOOKUP(Table1[[#This Row],[OrderID]],'Courier company invoice'!B:B,'Courier company invoice'!H:H)</f>
        <v>90.2</v>
      </c>
      <c r="P208" s="1">
        <f>Table1[[#This Row],[Billing Amount]]-Table1[[#This Row],[Expected charges]]</f>
        <v>44.800000000000004</v>
      </c>
      <c r="Q208" s="1" t="str" cm="1">
        <f t="array" ref="Q20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09" spans="1:17" x14ac:dyDescent="0.3">
      <c r="A209" s="3" t="s">
        <v>64</v>
      </c>
      <c r="B209" s="2">
        <f>Table1[[#This Row],[Order ID]]*1</f>
        <v>2001808679</v>
      </c>
      <c r="C209" s="2">
        <v>8904223818850</v>
      </c>
      <c r="D209">
        <v>1</v>
      </c>
      <c r="E209">
        <f>_xlfn.XLOOKUP(Table1[[#This Row],[SKU (Product Code)]],'SKU Master'!A:A,'SKU Master'!B:B)</f>
        <v>240</v>
      </c>
      <c r="F209">
        <f>Table1[[#This Row],[Product weight]]*Table1[[#This Row],[Order Qty]]</f>
        <v>240</v>
      </c>
      <c r="G209">
        <f>Table1[[#This Row],[Weight per order (g)]]/1000</f>
        <v>0.24</v>
      </c>
      <c r="H209" s="1">
        <f>CEILING(Table1[[#This Row],[Weight per order (Kg)]],0.5)</f>
        <v>0.5</v>
      </c>
      <c r="I209" t="str">
        <f>_xlfn.XLOOKUP(Table1[[#This Row],[OrderID]],'Courier company invoice'!B:B,'Courier company invoice'!F:F)</f>
        <v>d</v>
      </c>
      <c r="J209" s="1" t="str">
        <f>_xlfn.XLOOKUP(Table1[[#This Row],[OrderID]],Table2[Order ID],Table2[Type of Shipment],"Not Found")</f>
        <v>Forward charges</v>
      </c>
      <c r="K209">
        <f>INDEX(Sheet1[],1,MATCH("fwd_"&amp;Table1[[#This Row],[Zone]]&amp;"_fixed",Sheet1[#Headers],0))</f>
        <v>45.4</v>
      </c>
      <c r="L209">
        <f>INDEX(Sheet1[],1,MATCH("fwd_"&amp;Table1[[#This Row],[Zone]]&amp;"_additional",Sheet1[#Headers],0))</f>
        <v>44.8</v>
      </c>
      <c r="M209" s="1">
        <f>(Table1[[#This Row],[Weight slab]]-0.5)/0.5</f>
        <v>0</v>
      </c>
      <c r="N209" s="1">
        <f>Table1[[#This Row],[Fixed_Charges]]+Table1[[#This Row],[No_of_Extra_slabs]]*Table1[[#This Row],[Additional_Charges]]</f>
        <v>45.4</v>
      </c>
      <c r="O209">
        <f>_xlfn.XLOOKUP(Table1[[#This Row],[OrderID]],'Courier company invoice'!B:B,'Courier company invoice'!H:H)</f>
        <v>90.2</v>
      </c>
      <c r="P209" s="1">
        <f>Table1[[#This Row],[Billing Amount]]-Table1[[#This Row],[Expected charges]]</f>
        <v>44.800000000000004</v>
      </c>
      <c r="Q209" s="1" t="str" cm="1">
        <f t="array" ref="Q20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10" spans="1:17" x14ac:dyDescent="0.3">
      <c r="A210" s="3" t="s">
        <v>65</v>
      </c>
      <c r="B210" s="2">
        <f>Table1[[#This Row],[Order ID]]*1</f>
        <v>2001808675</v>
      </c>
      <c r="C210" s="2">
        <v>8904223818614</v>
      </c>
      <c r="D210">
        <v>1</v>
      </c>
      <c r="E210">
        <f>_xlfn.XLOOKUP(Table1[[#This Row],[SKU (Product Code)]],'SKU Master'!A:A,'SKU Master'!B:B)</f>
        <v>65</v>
      </c>
      <c r="F210">
        <f>Table1[[#This Row],[Product weight]]*Table1[[#This Row],[Order Qty]]</f>
        <v>65</v>
      </c>
      <c r="G210">
        <f>Table1[[#This Row],[Weight per order (g)]]/1000</f>
        <v>6.5000000000000002E-2</v>
      </c>
      <c r="H210" s="1">
        <f>CEILING(Table1[[#This Row],[Weight per order (Kg)]],0.5)</f>
        <v>0.5</v>
      </c>
      <c r="I210" t="str">
        <f>_xlfn.XLOOKUP(Table1[[#This Row],[OrderID]],'Courier company invoice'!B:B,'Courier company invoice'!F:F)</f>
        <v>b</v>
      </c>
      <c r="J210" s="1" t="str">
        <f>_xlfn.XLOOKUP(Table1[[#This Row],[OrderID]],Table2[Order ID],Table2[Type of Shipment],"Not Found")</f>
        <v>Forward charges</v>
      </c>
      <c r="K210">
        <f>INDEX(Sheet1[],1,MATCH("fwd_"&amp;Table1[[#This Row],[Zone]]&amp;"_fixed",Sheet1[#Headers],0))</f>
        <v>33</v>
      </c>
      <c r="L210">
        <f>INDEX(Sheet1[],1,MATCH("fwd_"&amp;Table1[[#This Row],[Zone]]&amp;"_additional",Sheet1[#Headers],0))</f>
        <v>28.3</v>
      </c>
      <c r="M210" s="1">
        <f>(Table1[[#This Row],[Weight slab]]-0.5)/0.5</f>
        <v>0</v>
      </c>
      <c r="N210" s="1">
        <f>Table1[[#This Row],[Fixed_Charges]]+Table1[[#This Row],[No_of_Extra_slabs]]*Table1[[#This Row],[Additional_Charges]]</f>
        <v>33</v>
      </c>
      <c r="O210">
        <f>_xlfn.XLOOKUP(Table1[[#This Row],[OrderID]],'Courier company invoice'!B:B,'Courier company invoice'!H:H)</f>
        <v>89.6</v>
      </c>
      <c r="P210" s="1">
        <f>Table1[[#This Row],[Billing Amount]]-Table1[[#This Row],[Expected charges]]</f>
        <v>56.599999999999994</v>
      </c>
      <c r="Q210" s="1" t="str" cm="1">
        <f t="array" ref="Q21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11" spans="1:17" x14ac:dyDescent="0.3">
      <c r="A211" s="3" t="s">
        <v>65</v>
      </c>
      <c r="B211" s="2">
        <f>Table1[[#This Row],[Order ID]]*1</f>
        <v>2001808675</v>
      </c>
      <c r="C211" s="2">
        <v>8904223815866</v>
      </c>
      <c r="D211">
        <v>1</v>
      </c>
      <c r="E211">
        <f>_xlfn.XLOOKUP(Table1[[#This Row],[SKU (Product Code)]],'SKU Master'!A:A,'SKU Master'!B:B)</f>
        <v>113</v>
      </c>
      <c r="F211">
        <f>Table1[[#This Row],[Product weight]]*Table1[[#This Row],[Order Qty]]</f>
        <v>113</v>
      </c>
      <c r="G211">
        <f>Table1[[#This Row],[Weight per order (g)]]/1000</f>
        <v>0.113</v>
      </c>
      <c r="H211" s="1">
        <f>CEILING(Table1[[#This Row],[Weight per order (Kg)]],0.5)</f>
        <v>0.5</v>
      </c>
      <c r="I211" t="str">
        <f>_xlfn.XLOOKUP(Table1[[#This Row],[OrderID]],'Courier company invoice'!B:B,'Courier company invoice'!F:F)</f>
        <v>b</v>
      </c>
      <c r="J211" s="1" t="str">
        <f>_xlfn.XLOOKUP(Table1[[#This Row],[OrderID]],Table2[Order ID],Table2[Type of Shipment],"Not Found")</f>
        <v>Forward charges</v>
      </c>
      <c r="K211">
        <f>INDEX(Sheet1[],1,MATCH("fwd_"&amp;Table1[[#This Row],[Zone]]&amp;"_fixed",Sheet1[#Headers],0))</f>
        <v>33</v>
      </c>
      <c r="L211">
        <f>INDEX(Sheet1[],1,MATCH("fwd_"&amp;Table1[[#This Row],[Zone]]&amp;"_additional",Sheet1[#Headers],0))</f>
        <v>28.3</v>
      </c>
      <c r="M211" s="1">
        <f>(Table1[[#This Row],[Weight slab]]-0.5)/0.5</f>
        <v>0</v>
      </c>
      <c r="N211" s="1">
        <f>Table1[[#This Row],[Fixed_Charges]]+Table1[[#This Row],[No_of_Extra_slabs]]*Table1[[#This Row],[Additional_Charges]]</f>
        <v>33</v>
      </c>
      <c r="O211">
        <f>_xlfn.XLOOKUP(Table1[[#This Row],[OrderID]],'Courier company invoice'!B:B,'Courier company invoice'!H:H)</f>
        <v>89.6</v>
      </c>
      <c r="P211" s="1">
        <f>Table1[[#This Row],[Billing Amount]]-Table1[[#This Row],[Expected charges]]</f>
        <v>56.599999999999994</v>
      </c>
      <c r="Q211" s="1" t="str" cm="1">
        <f t="array" ref="Q21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12" spans="1:17" x14ac:dyDescent="0.3">
      <c r="A212" s="3" t="s">
        <v>65</v>
      </c>
      <c r="B212" s="2">
        <f>Table1[[#This Row],[Order ID]]*1</f>
        <v>2001808675</v>
      </c>
      <c r="C212" s="2">
        <v>8904223815859</v>
      </c>
      <c r="D212">
        <v>1</v>
      </c>
      <c r="E212">
        <f>_xlfn.XLOOKUP(Table1[[#This Row],[SKU (Product Code)]],'SKU Master'!A:A,'SKU Master'!B:B)</f>
        <v>165</v>
      </c>
      <c r="F212">
        <f>Table1[[#This Row],[Product weight]]*Table1[[#This Row],[Order Qty]]</f>
        <v>165</v>
      </c>
      <c r="G212">
        <f>Table1[[#This Row],[Weight per order (g)]]/1000</f>
        <v>0.16500000000000001</v>
      </c>
      <c r="H212" s="1">
        <f>CEILING(Table1[[#This Row],[Weight per order (Kg)]],0.5)</f>
        <v>0.5</v>
      </c>
      <c r="I212" t="str">
        <f>_xlfn.XLOOKUP(Table1[[#This Row],[OrderID]],'Courier company invoice'!B:B,'Courier company invoice'!F:F)</f>
        <v>b</v>
      </c>
      <c r="J212" s="1" t="str">
        <f>_xlfn.XLOOKUP(Table1[[#This Row],[OrderID]],Table2[Order ID],Table2[Type of Shipment],"Not Found")</f>
        <v>Forward charges</v>
      </c>
      <c r="K212">
        <f>INDEX(Sheet1[],1,MATCH("fwd_"&amp;Table1[[#This Row],[Zone]]&amp;"_fixed",Sheet1[#Headers],0))</f>
        <v>33</v>
      </c>
      <c r="L212">
        <f>INDEX(Sheet1[],1,MATCH("fwd_"&amp;Table1[[#This Row],[Zone]]&amp;"_additional",Sheet1[#Headers],0))</f>
        <v>28.3</v>
      </c>
      <c r="M212" s="1">
        <f>(Table1[[#This Row],[Weight slab]]-0.5)/0.5</f>
        <v>0</v>
      </c>
      <c r="N212" s="1">
        <f>Table1[[#This Row],[Fixed_Charges]]+Table1[[#This Row],[No_of_Extra_slabs]]*Table1[[#This Row],[Additional_Charges]]</f>
        <v>33</v>
      </c>
      <c r="O212">
        <f>_xlfn.XLOOKUP(Table1[[#This Row],[OrderID]],'Courier company invoice'!B:B,'Courier company invoice'!H:H)</f>
        <v>89.6</v>
      </c>
      <c r="P212" s="1">
        <f>Table1[[#This Row],[Billing Amount]]-Table1[[#This Row],[Expected charges]]</f>
        <v>56.599999999999994</v>
      </c>
      <c r="Q212" s="1" t="str" cm="1">
        <f t="array" ref="Q21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13" spans="1:17" x14ac:dyDescent="0.3">
      <c r="A213" s="3" t="s">
        <v>65</v>
      </c>
      <c r="B213" s="2">
        <f>Table1[[#This Row],[Order ID]]*1</f>
        <v>2001808675</v>
      </c>
      <c r="C213" s="2">
        <v>8904223817334</v>
      </c>
      <c r="D213">
        <v>1</v>
      </c>
      <c r="E213">
        <f>_xlfn.XLOOKUP(Table1[[#This Row],[SKU (Product Code)]],'SKU Master'!A:A,'SKU Master'!B:B)</f>
        <v>170</v>
      </c>
      <c r="F213">
        <f>Table1[[#This Row],[Product weight]]*Table1[[#This Row],[Order Qty]]</f>
        <v>170</v>
      </c>
      <c r="G213">
        <f>Table1[[#This Row],[Weight per order (g)]]/1000</f>
        <v>0.17</v>
      </c>
      <c r="H213" s="1">
        <f>CEILING(Table1[[#This Row],[Weight per order (Kg)]],0.5)</f>
        <v>0.5</v>
      </c>
      <c r="I213" t="str">
        <f>_xlfn.XLOOKUP(Table1[[#This Row],[OrderID]],'Courier company invoice'!B:B,'Courier company invoice'!F:F)</f>
        <v>b</v>
      </c>
      <c r="J213" s="1" t="str">
        <f>_xlfn.XLOOKUP(Table1[[#This Row],[OrderID]],Table2[Order ID],Table2[Type of Shipment],"Not Found")</f>
        <v>Forward charges</v>
      </c>
      <c r="K213">
        <f>INDEX(Sheet1[],1,MATCH("fwd_"&amp;Table1[[#This Row],[Zone]]&amp;"_fixed",Sheet1[#Headers],0))</f>
        <v>33</v>
      </c>
      <c r="L213">
        <f>INDEX(Sheet1[],1,MATCH("fwd_"&amp;Table1[[#This Row],[Zone]]&amp;"_additional",Sheet1[#Headers],0))</f>
        <v>28.3</v>
      </c>
      <c r="M213" s="1">
        <f>(Table1[[#This Row],[Weight slab]]-0.5)/0.5</f>
        <v>0</v>
      </c>
      <c r="N213" s="1">
        <f>Table1[[#This Row],[Fixed_Charges]]+Table1[[#This Row],[No_of_Extra_slabs]]*Table1[[#This Row],[Additional_Charges]]</f>
        <v>33</v>
      </c>
      <c r="O213">
        <f>_xlfn.XLOOKUP(Table1[[#This Row],[OrderID]],'Courier company invoice'!B:B,'Courier company invoice'!H:H)</f>
        <v>89.6</v>
      </c>
      <c r="P213" s="1">
        <f>Table1[[#This Row],[Billing Amount]]-Table1[[#This Row],[Expected charges]]</f>
        <v>56.599999999999994</v>
      </c>
      <c r="Q213" s="1" t="str" cm="1">
        <f t="array" ref="Q21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14" spans="1:17" x14ac:dyDescent="0.3">
      <c r="A214" s="3" t="s">
        <v>65</v>
      </c>
      <c r="B214" s="2">
        <f>Table1[[#This Row],[Order ID]]*1</f>
        <v>2001808675</v>
      </c>
      <c r="C214" s="2" t="s">
        <v>66</v>
      </c>
      <c r="D214">
        <v>1</v>
      </c>
      <c r="E214">
        <f>_xlfn.XLOOKUP(Table1[[#This Row],[SKU (Product Code)]],'SKU Master'!A:A,'SKU Master'!B:B)</f>
        <v>500</v>
      </c>
      <c r="F214">
        <f>Table1[[#This Row],[Product weight]]*Table1[[#This Row],[Order Qty]]</f>
        <v>500</v>
      </c>
      <c r="G214">
        <f>Table1[[#This Row],[Weight per order (g)]]/1000</f>
        <v>0.5</v>
      </c>
      <c r="H214" s="1">
        <f>CEILING(Table1[[#This Row],[Weight per order (Kg)]],0.5)</f>
        <v>0.5</v>
      </c>
      <c r="I214" t="str">
        <f>_xlfn.XLOOKUP(Table1[[#This Row],[OrderID]],'Courier company invoice'!B:B,'Courier company invoice'!F:F)</f>
        <v>b</v>
      </c>
      <c r="J214" s="1" t="str">
        <f>_xlfn.XLOOKUP(Table1[[#This Row],[OrderID]],Table2[Order ID],Table2[Type of Shipment],"Not Found")</f>
        <v>Forward charges</v>
      </c>
      <c r="K214">
        <f>INDEX(Sheet1[],1,MATCH("fwd_"&amp;Table1[[#This Row],[Zone]]&amp;"_fixed",Sheet1[#Headers],0))</f>
        <v>33</v>
      </c>
      <c r="L214">
        <f>INDEX(Sheet1[],1,MATCH("fwd_"&amp;Table1[[#This Row],[Zone]]&amp;"_additional",Sheet1[#Headers],0))</f>
        <v>28.3</v>
      </c>
      <c r="M214" s="1">
        <f>(Table1[[#This Row],[Weight slab]]-0.5)/0.5</f>
        <v>0</v>
      </c>
      <c r="N214" s="1">
        <f>Table1[[#This Row],[Fixed_Charges]]+Table1[[#This Row],[No_of_Extra_slabs]]*Table1[[#This Row],[Additional_Charges]]</f>
        <v>33</v>
      </c>
      <c r="O214">
        <f>_xlfn.XLOOKUP(Table1[[#This Row],[OrderID]],'Courier company invoice'!B:B,'Courier company invoice'!H:H)</f>
        <v>89.6</v>
      </c>
      <c r="P214" s="1">
        <f>Table1[[#This Row],[Billing Amount]]-Table1[[#This Row],[Expected charges]]</f>
        <v>56.599999999999994</v>
      </c>
      <c r="Q214" s="1" t="str" cm="1">
        <f t="array" ref="Q21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15" spans="1:17" x14ac:dyDescent="0.3">
      <c r="A215" s="3" t="s">
        <v>65</v>
      </c>
      <c r="B215" s="2">
        <f>Table1[[#This Row],[Order ID]]*1</f>
        <v>2001808675</v>
      </c>
      <c r="C215" s="2">
        <v>8904223819369</v>
      </c>
      <c r="D215">
        <v>1</v>
      </c>
      <c r="E215">
        <f>_xlfn.XLOOKUP(Table1[[#This Row],[SKU (Product Code)]],'SKU Master'!A:A,'SKU Master'!B:B)</f>
        <v>170</v>
      </c>
      <c r="F215">
        <f>Table1[[#This Row],[Product weight]]*Table1[[#This Row],[Order Qty]]</f>
        <v>170</v>
      </c>
      <c r="G215">
        <f>Table1[[#This Row],[Weight per order (g)]]/1000</f>
        <v>0.17</v>
      </c>
      <c r="H215" s="1">
        <f>CEILING(Table1[[#This Row],[Weight per order (Kg)]],0.5)</f>
        <v>0.5</v>
      </c>
      <c r="I215" t="str">
        <f>_xlfn.XLOOKUP(Table1[[#This Row],[OrderID]],'Courier company invoice'!B:B,'Courier company invoice'!F:F)</f>
        <v>b</v>
      </c>
      <c r="J215" s="1" t="str">
        <f>_xlfn.XLOOKUP(Table1[[#This Row],[OrderID]],Table2[Order ID],Table2[Type of Shipment],"Not Found")</f>
        <v>Forward charges</v>
      </c>
      <c r="K215">
        <f>INDEX(Sheet1[],1,MATCH("fwd_"&amp;Table1[[#This Row],[Zone]]&amp;"_fixed",Sheet1[#Headers],0))</f>
        <v>33</v>
      </c>
      <c r="L215">
        <f>INDEX(Sheet1[],1,MATCH("fwd_"&amp;Table1[[#This Row],[Zone]]&amp;"_additional",Sheet1[#Headers],0))</f>
        <v>28.3</v>
      </c>
      <c r="M215" s="1">
        <f>(Table1[[#This Row],[Weight slab]]-0.5)/0.5</f>
        <v>0</v>
      </c>
      <c r="N215" s="1">
        <f>Table1[[#This Row],[Fixed_Charges]]+Table1[[#This Row],[No_of_Extra_slabs]]*Table1[[#This Row],[Additional_Charges]]</f>
        <v>33</v>
      </c>
      <c r="O215">
        <f>_xlfn.XLOOKUP(Table1[[#This Row],[OrderID]],'Courier company invoice'!B:B,'Courier company invoice'!H:H)</f>
        <v>89.6</v>
      </c>
      <c r="P215" s="1">
        <f>Table1[[#This Row],[Billing Amount]]-Table1[[#This Row],[Expected charges]]</f>
        <v>56.599999999999994</v>
      </c>
      <c r="Q215" s="1" t="str" cm="1">
        <f t="array" ref="Q21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16" spans="1:17" x14ac:dyDescent="0.3">
      <c r="A216" s="3" t="s">
        <v>67</v>
      </c>
      <c r="B216" s="2">
        <f>Table1[[#This Row],[Order ID]]*1</f>
        <v>2001808585</v>
      </c>
      <c r="C216" s="2">
        <v>8904223818706</v>
      </c>
      <c r="D216">
        <v>1</v>
      </c>
      <c r="E216">
        <f>_xlfn.XLOOKUP(Table1[[#This Row],[SKU (Product Code)]],'SKU Master'!A:A,'SKU Master'!B:B)</f>
        <v>127</v>
      </c>
      <c r="F216">
        <f>Table1[[#This Row],[Product weight]]*Table1[[#This Row],[Order Qty]]</f>
        <v>127</v>
      </c>
      <c r="G216">
        <f>Table1[[#This Row],[Weight per order (g)]]/1000</f>
        <v>0.127</v>
      </c>
      <c r="H216" s="1">
        <f>CEILING(Table1[[#This Row],[Weight per order (Kg)]],0.5)</f>
        <v>0.5</v>
      </c>
      <c r="I216" t="str">
        <f>_xlfn.XLOOKUP(Table1[[#This Row],[OrderID]],'Courier company invoice'!B:B,'Courier company invoice'!F:F)</f>
        <v>b</v>
      </c>
      <c r="J216" s="1" t="str">
        <f>_xlfn.XLOOKUP(Table1[[#This Row],[OrderID]],Table2[Order ID],Table2[Type of Shipment],"Not Found")</f>
        <v>Forward charges</v>
      </c>
      <c r="K216">
        <f>INDEX(Sheet1[],1,MATCH("fwd_"&amp;Table1[[#This Row],[Zone]]&amp;"_fixed",Sheet1[#Headers],0))</f>
        <v>33</v>
      </c>
      <c r="L216">
        <f>INDEX(Sheet1[],1,MATCH("fwd_"&amp;Table1[[#This Row],[Zone]]&amp;"_additional",Sheet1[#Headers],0))</f>
        <v>28.3</v>
      </c>
      <c r="M216" s="1">
        <f>(Table1[[#This Row],[Weight slab]]-0.5)/0.5</f>
        <v>0</v>
      </c>
      <c r="N216" s="1">
        <f>Table1[[#This Row],[Fixed_Charges]]+Table1[[#This Row],[No_of_Extra_slabs]]*Table1[[#This Row],[Additional_Charges]]</f>
        <v>33</v>
      </c>
      <c r="O216">
        <f>_xlfn.XLOOKUP(Table1[[#This Row],[OrderID]],'Courier company invoice'!B:B,'Courier company invoice'!H:H)</f>
        <v>61.3</v>
      </c>
      <c r="P216" s="1">
        <f>Table1[[#This Row],[Billing Amount]]-Table1[[#This Row],[Expected charges]]</f>
        <v>28.299999999999997</v>
      </c>
      <c r="Q216" s="1" t="str" cm="1">
        <f t="array" ref="Q21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17" spans="1:17" x14ac:dyDescent="0.3">
      <c r="A217" s="3" t="s">
        <v>67</v>
      </c>
      <c r="B217" s="2">
        <f>Table1[[#This Row],[Order ID]]*1</f>
        <v>2001808585</v>
      </c>
      <c r="C217" s="2">
        <v>8904223818942</v>
      </c>
      <c r="D217">
        <v>1</v>
      </c>
      <c r="E217">
        <f>_xlfn.XLOOKUP(Table1[[#This Row],[SKU (Product Code)]],'SKU Master'!A:A,'SKU Master'!B:B)</f>
        <v>133</v>
      </c>
      <c r="F217">
        <f>Table1[[#This Row],[Product weight]]*Table1[[#This Row],[Order Qty]]</f>
        <v>133</v>
      </c>
      <c r="G217">
        <f>Table1[[#This Row],[Weight per order (g)]]/1000</f>
        <v>0.13300000000000001</v>
      </c>
      <c r="H217" s="1">
        <f>CEILING(Table1[[#This Row],[Weight per order (Kg)]],0.5)</f>
        <v>0.5</v>
      </c>
      <c r="I217" t="str">
        <f>_xlfn.XLOOKUP(Table1[[#This Row],[OrderID]],'Courier company invoice'!B:B,'Courier company invoice'!F:F)</f>
        <v>b</v>
      </c>
      <c r="J217" s="1" t="str">
        <f>_xlfn.XLOOKUP(Table1[[#This Row],[OrderID]],Table2[Order ID],Table2[Type of Shipment],"Not Found")</f>
        <v>Forward charges</v>
      </c>
      <c r="K217">
        <f>INDEX(Sheet1[],1,MATCH("fwd_"&amp;Table1[[#This Row],[Zone]]&amp;"_fixed",Sheet1[#Headers],0))</f>
        <v>33</v>
      </c>
      <c r="L217">
        <f>INDEX(Sheet1[],1,MATCH("fwd_"&amp;Table1[[#This Row],[Zone]]&amp;"_additional",Sheet1[#Headers],0))</f>
        <v>28.3</v>
      </c>
      <c r="M217" s="1">
        <f>(Table1[[#This Row],[Weight slab]]-0.5)/0.5</f>
        <v>0</v>
      </c>
      <c r="N217" s="1">
        <f>Table1[[#This Row],[Fixed_Charges]]+Table1[[#This Row],[No_of_Extra_slabs]]*Table1[[#This Row],[Additional_Charges]]</f>
        <v>33</v>
      </c>
      <c r="O217">
        <f>_xlfn.XLOOKUP(Table1[[#This Row],[OrderID]],'Courier company invoice'!B:B,'Courier company invoice'!H:H)</f>
        <v>61.3</v>
      </c>
      <c r="P217" s="1">
        <f>Table1[[#This Row],[Billing Amount]]-Table1[[#This Row],[Expected charges]]</f>
        <v>28.299999999999997</v>
      </c>
      <c r="Q217" s="1" t="str" cm="1">
        <f t="array" ref="Q21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18" spans="1:17" x14ac:dyDescent="0.3">
      <c r="A218" s="3" t="s">
        <v>67</v>
      </c>
      <c r="B218" s="2">
        <f>Table1[[#This Row],[Order ID]]*1</f>
        <v>2001808585</v>
      </c>
      <c r="C218" s="2">
        <v>8904223818850</v>
      </c>
      <c r="D218">
        <v>1</v>
      </c>
      <c r="E218">
        <f>_xlfn.XLOOKUP(Table1[[#This Row],[SKU (Product Code)]],'SKU Master'!A:A,'SKU Master'!B:B)</f>
        <v>240</v>
      </c>
      <c r="F218">
        <f>Table1[[#This Row],[Product weight]]*Table1[[#This Row],[Order Qty]]</f>
        <v>240</v>
      </c>
      <c r="G218">
        <f>Table1[[#This Row],[Weight per order (g)]]/1000</f>
        <v>0.24</v>
      </c>
      <c r="H218" s="1">
        <f>CEILING(Table1[[#This Row],[Weight per order (Kg)]],0.5)</f>
        <v>0.5</v>
      </c>
      <c r="I218" t="str">
        <f>_xlfn.XLOOKUP(Table1[[#This Row],[OrderID]],'Courier company invoice'!B:B,'Courier company invoice'!F:F)</f>
        <v>b</v>
      </c>
      <c r="J218" s="1" t="str">
        <f>_xlfn.XLOOKUP(Table1[[#This Row],[OrderID]],Table2[Order ID],Table2[Type of Shipment],"Not Found")</f>
        <v>Forward charges</v>
      </c>
      <c r="K218">
        <f>INDEX(Sheet1[],1,MATCH("fwd_"&amp;Table1[[#This Row],[Zone]]&amp;"_fixed",Sheet1[#Headers],0))</f>
        <v>33</v>
      </c>
      <c r="L218">
        <f>INDEX(Sheet1[],1,MATCH("fwd_"&amp;Table1[[#This Row],[Zone]]&amp;"_additional",Sheet1[#Headers],0))</f>
        <v>28.3</v>
      </c>
      <c r="M218" s="1">
        <f>(Table1[[#This Row],[Weight slab]]-0.5)/0.5</f>
        <v>0</v>
      </c>
      <c r="N218" s="1">
        <f>Table1[[#This Row],[Fixed_Charges]]+Table1[[#This Row],[No_of_Extra_slabs]]*Table1[[#This Row],[Additional_Charges]]</f>
        <v>33</v>
      </c>
      <c r="O218">
        <f>_xlfn.XLOOKUP(Table1[[#This Row],[OrderID]],'Courier company invoice'!B:B,'Courier company invoice'!H:H)</f>
        <v>61.3</v>
      </c>
      <c r="P218" s="1">
        <f>Table1[[#This Row],[Billing Amount]]-Table1[[#This Row],[Expected charges]]</f>
        <v>28.299999999999997</v>
      </c>
      <c r="Q218" s="1" t="str" cm="1">
        <f t="array" ref="Q21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19" spans="1:17" x14ac:dyDescent="0.3">
      <c r="A219" s="3" t="s">
        <v>68</v>
      </c>
      <c r="B219" s="2">
        <f>Table1[[#This Row],[Order ID]]*1</f>
        <v>2001808542</v>
      </c>
      <c r="C219" s="2">
        <v>8904223819468</v>
      </c>
      <c r="D219">
        <v>2</v>
      </c>
      <c r="E219">
        <f>_xlfn.XLOOKUP(Table1[[#This Row],[SKU (Product Code)]],'SKU Master'!A:A,'SKU Master'!B:B)</f>
        <v>240</v>
      </c>
      <c r="F219">
        <f>Table1[[#This Row],[Product weight]]*Table1[[#This Row],[Order Qty]]</f>
        <v>480</v>
      </c>
      <c r="G219">
        <f>Table1[[#This Row],[Weight per order (g)]]/1000</f>
        <v>0.48</v>
      </c>
      <c r="H219" s="1">
        <f>CEILING(Table1[[#This Row],[Weight per order (Kg)]],0.5)</f>
        <v>0.5</v>
      </c>
      <c r="I219" t="str">
        <f>_xlfn.XLOOKUP(Table1[[#This Row],[OrderID]],'Courier company invoice'!B:B,'Courier company invoice'!F:F)</f>
        <v>d</v>
      </c>
      <c r="J219" s="1" t="str">
        <f>_xlfn.XLOOKUP(Table1[[#This Row],[OrderID]],Table2[Order ID],Table2[Type of Shipment],"Not Found")</f>
        <v>Forward charges</v>
      </c>
      <c r="K219">
        <f>INDEX(Sheet1[],1,MATCH("fwd_"&amp;Table1[[#This Row],[Zone]]&amp;"_fixed",Sheet1[#Headers],0))</f>
        <v>45.4</v>
      </c>
      <c r="L219">
        <f>INDEX(Sheet1[],1,MATCH("fwd_"&amp;Table1[[#This Row],[Zone]]&amp;"_additional",Sheet1[#Headers],0))</f>
        <v>44.8</v>
      </c>
      <c r="M219" s="1">
        <f>(Table1[[#This Row],[Weight slab]]-0.5)/0.5</f>
        <v>0</v>
      </c>
      <c r="N219" s="1">
        <f>Table1[[#This Row],[Fixed_Charges]]+Table1[[#This Row],[No_of_Extra_slabs]]*Table1[[#This Row],[Additional_Charges]]</f>
        <v>45.4</v>
      </c>
      <c r="O219">
        <f>_xlfn.XLOOKUP(Table1[[#This Row],[OrderID]],'Courier company invoice'!B:B,'Courier company invoice'!H:H)</f>
        <v>90.2</v>
      </c>
      <c r="P219" s="1">
        <f>Table1[[#This Row],[Billing Amount]]-Table1[[#This Row],[Expected charges]]</f>
        <v>44.800000000000004</v>
      </c>
      <c r="Q219" s="1" t="str" cm="1">
        <f t="array" ref="Q21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20" spans="1:17" x14ac:dyDescent="0.3">
      <c r="A220" s="3" t="s">
        <v>68</v>
      </c>
      <c r="B220" s="2">
        <f>Table1[[#This Row],[Order ID]]*1</f>
        <v>2001808542</v>
      </c>
      <c r="C220" s="2">
        <v>8904223818706</v>
      </c>
      <c r="D220">
        <v>2</v>
      </c>
      <c r="E220">
        <f>_xlfn.XLOOKUP(Table1[[#This Row],[SKU (Product Code)]],'SKU Master'!A:A,'SKU Master'!B:B)</f>
        <v>127</v>
      </c>
      <c r="F220">
        <f>Table1[[#This Row],[Product weight]]*Table1[[#This Row],[Order Qty]]</f>
        <v>254</v>
      </c>
      <c r="G220">
        <f>Table1[[#This Row],[Weight per order (g)]]/1000</f>
        <v>0.254</v>
      </c>
      <c r="H220" s="1">
        <f>CEILING(Table1[[#This Row],[Weight per order (Kg)]],0.5)</f>
        <v>0.5</v>
      </c>
      <c r="I220" t="str">
        <f>_xlfn.XLOOKUP(Table1[[#This Row],[OrderID]],'Courier company invoice'!B:B,'Courier company invoice'!F:F)</f>
        <v>d</v>
      </c>
      <c r="J220" s="1" t="str">
        <f>_xlfn.XLOOKUP(Table1[[#This Row],[OrderID]],Table2[Order ID],Table2[Type of Shipment],"Not Found")</f>
        <v>Forward charges</v>
      </c>
      <c r="K220">
        <f>INDEX(Sheet1[],1,MATCH("fwd_"&amp;Table1[[#This Row],[Zone]]&amp;"_fixed",Sheet1[#Headers],0))</f>
        <v>45.4</v>
      </c>
      <c r="L220">
        <f>INDEX(Sheet1[],1,MATCH("fwd_"&amp;Table1[[#This Row],[Zone]]&amp;"_additional",Sheet1[#Headers],0))</f>
        <v>44.8</v>
      </c>
      <c r="M220" s="1">
        <f>(Table1[[#This Row],[Weight slab]]-0.5)/0.5</f>
        <v>0</v>
      </c>
      <c r="N220" s="1">
        <f>Table1[[#This Row],[Fixed_Charges]]+Table1[[#This Row],[No_of_Extra_slabs]]*Table1[[#This Row],[Additional_Charges]]</f>
        <v>45.4</v>
      </c>
      <c r="O220">
        <f>_xlfn.XLOOKUP(Table1[[#This Row],[OrderID]],'Courier company invoice'!B:B,'Courier company invoice'!H:H)</f>
        <v>90.2</v>
      </c>
      <c r="P220" s="1">
        <f>Table1[[#This Row],[Billing Amount]]-Table1[[#This Row],[Expected charges]]</f>
        <v>44.800000000000004</v>
      </c>
      <c r="Q220" s="1" t="str" cm="1">
        <f t="array" ref="Q22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21" spans="1:17" x14ac:dyDescent="0.3">
      <c r="A221" s="3" t="s">
        <v>69</v>
      </c>
      <c r="B221" s="2">
        <f>Table1[[#This Row],[Order ID]]*1</f>
        <v>2001808507</v>
      </c>
      <c r="C221" s="2">
        <v>8904223818706</v>
      </c>
      <c r="D221">
        <v>1</v>
      </c>
      <c r="E221">
        <f>_xlfn.XLOOKUP(Table1[[#This Row],[SKU (Product Code)]],'SKU Master'!A:A,'SKU Master'!B:B)</f>
        <v>127</v>
      </c>
      <c r="F221">
        <f>Table1[[#This Row],[Product weight]]*Table1[[#This Row],[Order Qty]]</f>
        <v>127</v>
      </c>
      <c r="G221">
        <f>Table1[[#This Row],[Weight per order (g)]]/1000</f>
        <v>0.127</v>
      </c>
      <c r="H221" s="1">
        <f>CEILING(Table1[[#This Row],[Weight per order (Kg)]],0.5)</f>
        <v>0.5</v>
      </c>
      <c r="I221" t="str">
        <f>_xlfn.XLOOKUP(Table1[[#This Row],[OrderID]],'Courier company invoice'!B:B,'Courier company invoice'!F:F)</f>
        <v>b</v>
      </c>
      <c r="J221" s="1" t="str">
        <f>_xlfn.XLOOKUP(Table1[[#This Row],[OrderID]],Table2[Order ID],Table2[Type of Shipment],"Not Found")</f>
        <v>Forward charges</v>
      </c>
      <c r="K221">
        <f>INDEX(Sheet1[],1,MATCH("fwd_"&amp;Table1[[#This Row],[Zone]]&amp;"_fixed",Sheet1[#Headers],0))</f>
        <v>33</v>
      </c>
      <c r="L221">
        <f>INDEX(Sheet1[],1,MATCH("fwd_"&amp;Table1[[#This Row],[Zone]]&amp;"_additional",Sheet1[#Headers],0))</f>
        <v>28.3</v>
      </c>
      <c r="M221" s="1">
        <f>(Table1[[#This Row],[Weight slab]]-0.5)/0.5</f>
        <v>0</v>
      </c>
      <c r="N221" s="1">
        <f>Table1[[#This Row],[Fixed_Charges]]+Table1[[#This Row],[No_of_Extra_slabs]]*Table1[[#This Row],[Additional_Charges]]</f>
        <v>33</v>
      </c>
      <c r="O221">
        <f>_xlfn.XLOOKUP(Table1[[#This Row],[OrderID]],'Courier company invoice'!B:B,'Courier company invoice'!H:H)</f>
        <v>61.3</v>
      </c>
      <c r="P221" s="1">
        <f>Table1[[#This Row],[Billing Amount]]-Table1[[#This Row],[Expected charges]]</f>
        <v>28.299999999999997</v>
      </c>
      <c r="Q221" s="1" t="str" cm="1">
        <f t="array" ref="Q22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22" spans="1:17" x14ac:dyDescent="0.3">
      <c r="A222" s="3" t="s">
        <v>69</v>
      </c>
      <c r="B222" s="2">
        <f>Table1[[#This Row],[Order ID]]*1</f>
        <v>2001808507</v>
      </c>
      <c r="C222" s="2">
        <v>8904223818850</v>
      </c>
      <c r="D222">
        <v>1</v>
      </c>
      <c r="E222">
        <f>_xlfn.XLOOKUP(Table1[[#This Row],[SKU (Product Code)]],'SKU Master'!A:A,'SKU Master'!B:B)</f>
        <v>240</v>
      </c>
      <c r="F222">
        <f>Table1[[#This Row],[Product weight]]*Table1[[#This Row],[Order Qty]]</f>
        <v>240</v>
      </c>
      <c r="G222">
        <f>Table1[[#This Row],[Weight per order (g)]]/1000</f>
        <v>0.24</v>
      </c>
      <c r="H222" s="1">
        <f>CEILING(Table1[[#This Row],[Weight per order (Kg)]],0.5)</f>
        <v>0.5</v>
      </c>
      <c r="I222" t="str">
        <f>_xlfn.XLOOKUP(Table1[[#This Row],[OrderID]],'Courier company invoice'!B:B,'Courier company invoice'!F:F)</f>
        <v>b</v>
      </c>
      <c r="J222" s="1" t="str">
        <f>_xlfn.XLOOKUP(Table1[[#This Row],[OrderID]],Table2[Order ID],Table2[Type of Shipment],"Not Found")</f>
        <v>Forward charges</v>
      </c>
      <c r="K222">
        <f>INDEX(Sheet1[],1,MATCH("fwd_"&amp;Table1[[#This Row],[Zone]]&amp;"_fixed",Sheet1[#Headers],0))</f>
        <v>33</v>
      </c>
      <c r="L222">
        <f>INDEX(Sheet1[],1,MATCH("fwd_"&amp;Table1[[#This Row],[Zone]]&amp;"_additional",Sheet1[#Headers],0))</f>
        <v>28.3</v>
      </c>
      <c r="M222" s="1">
        <f>(Table1[[#This Row],[Weight slab]]-0.5)/0.5</f>
        <v>0</v>
      </c>
      <c r="N222" s="1">
        <f>Table1[[#This Row],[Fixed_Charges]]+Table1[[#This Row],[No_of_Extra_slabs]]*Table1[[#This Row],[Additional_Charges]]</f>
        <v>33</v>
      </c>
      <c r="O222">
        <f>_xlfn.XLOOKUP(Table1[[#This Row],[OrderID]],'Courier company invoice'!B:B,'Courier company invoice'!H:H)</f>
        <v>61.3</v>
      </c>
      <c r="P222" s="1">
        <f>Table1[[#This Row],[Billing Amount]]-Table1[[#This Row],[Expected charges]]</f>
        <v>28.299999999999997</v>
      </c>
      <c r="Q222" s="1" t="str" cm="1">
        <f t="array" ref="Q22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23" spans="1:17" x14ac:dyDescent="0.3">
      <c r="A223" s="3" t="s">
        <v>69</v>
      </c>
      <c r="B223" s="2">
        <f>Table1[[#This Row],[Order ID]]*1</f>
        <v>2001808507</v>
      </c>
      <c r="C223" s="2">
        <v>8904223819468</v>
      </c>
      <c r="D223">
        <v>1</v>
      </c>
      <c r="E223">
        <f>_xlfn.XLOOKUP(Table1[[#This Row],[SKU (Product Code)]],'SKU Master'!A:A,'SKU Master'!B:B)</f>
        <v>240</v>
      </c>
      <c r="F223">
        <f>Table1[[#This Row],[Product weight]]*Table1[[#This Row],[Order Qty]]</f>
        <v>240</v>
      </c>
      <c r="G223">
        <f>Table1[[#This Row],[Weight per order (g)]]/1000</f>
        <v>0.24</v>
      </c>
      <c r="H223" s="1">
        <f>CEILING(Table1[[#This Row],[Weight per order (Kg)]],0.5)</f>
        <v>0.5</v>
      </c>
      <c r="I223" t="str">
        <f>_xlfn.XLOOKUP(Table1[[#This Row],[OrderID]],'Courier company invoice'!B:B,'Courier company invoice'!F:F)</f>
        <v>b</v>
      </c>
      <c r="J223" s="1" t="str">
        <f>_xlfn.XLOOKUP(Table1[[#This Row],[OrderID]],Table2[Order ID],Table2[Type of Shipment],"Not Found")</f>
        <v>Forward charges</v>
      </c>
      <c r="K223">
        <f>INDEX(Sheet1[],1,MATCH("fwd_"&amp;Table1[[#This Row],[Zone]]&amp;"_fixed",Sheet1[#Headers],0))</f>
        <v>33</v>
      </c>
      <c r="L223">
        <f>INDEX(Sheet1[],1,MATCH("fwd_"&amp;Table1[[#This Row],[Zone]]&amp;"_additional",Sheet1[#Headers],0))</f>
        <v>28.3</v>
      </c>
      <c r="M223" s="1">
        <f>(Table1[[#This Row],[Weight slab]]-0.5)/0.5</f>
        <v>0</v>
      </c>
      <c r="N223" s="1">
        <f>Table1[[#This Row],[Fixed_Charges]]+Table1[[#This Row],[No_of_Extra_slabs]]*Table1[[#This Row],[Additional_Charges]]</f>
        <v>33</v>
      </c>
      <c r="O223">
        <f>_xlfn.XLOOKUP(Table1[[#This Row],[OrderID]],'Courier company invoice'!B:B,'Courier company invoice'!H:H)</f>
        <v>61.3</v>
      </c>
      <c r="P223" s="1">
        <f>Table1[[#This Row],[Billing Amount]]-Table1[[#This Row],[Expected charges]]</f>
        <v>28.299999999999997</v>
      </c>
      <c r="Q223" s="1" t="str" cm="1">
        <f t="array" ref="Q22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24" spans="1:17" x14ac:dyDescent="0.3">
      <c r="A224" s="3" t="s">
        <v>70</v>
      </c>
      <c r="B224" s="2">
        <f>Table1[[#This Row],[Order ID]]*1</f>
        <v>2001808475</v>
      </c>
      <c r="C224" s="2">
        <v>8904223818706</v>
      </c>
      <c r="D224">
        <v>1</v>
      </c>
      <c r="E224">
        <f>_xlfn.XLOOKUP(Table1[[#This Row],[SKU (Product Code)]],'SKU Master'!A:A,'SKU Master'!B:B)</f>
        <v>127</v>
      </c>
      <c r="F224">
        <f>Table1[[#This Row],[Product weight]]*Table1[[#This Row],[Order Qty]]</f>
        <v>127</v>
      </c>
      <c r="G224">
        <f>Table1[[#This Row],[Weight per order (g)]]/1000</f>
        <v>0.127</v>
      </c>
      <c r="H224" s="1">
        <f>CEILING(Table1[[#This Row],[Weight per order (Kg)]],0.5)</f>
        <v>0.5</v>
      </c>
      <c r="I224" t="str">
        <f>_xlfn.XLOOKUP(Table1[[#This Row],[OrderID]],'Courier company invoice'!B:B,'Courier company invoice'!F:F)</f>
        <v>d</v>
      </c>
      <c r="J224" s="1" t="str">
        <f>_xlfn.XLOOKUP(Table1[[#This Row],[OrderID]],Table2[Order ID],Table2[Type of Shipment],"Not Found")</f>
        <v>Forward charges</v>
      </c>
      <c r="K224">
        <f>INDEX(Sheet1[],1,MATCH("fwd_"&amp;Table1[[#This Row],[Zone]]&amp;"_fixed",Sheet1[#Headers],0))</f>
        <v>45.4</v>
      </c>
      <c r="L224">
        <f>INDEX(Sheet1[],1,MATCH("fwd_"&amp;Table1[[#This Row],[Zone]]&amp;"_additional",Sheet1[#Headers],0))</f>
        <v>44.8</v>
      </c>
      <c r="M224" s="1">
        <f>(Table1[[#This Row],[Weight slab]]-0.5)/0.5</f>
        <v>0</v>
      </c>
      <c r="N224" s="1">
        <f>Table1[[#This Row],[Fixed_Charges]]+Table1[[#This Row],[No_of_Extra_slabs]]*Table1[[#This Row],[Additional_Charges]]</f>
        <v>45.4</v>
      </c>
      <c r="O224">
        <f>_xlfn.XLOOKUP(Table1[[#This Row],[OrderID]],'Courier company invoice'!B:B,'Courier company invoice'!H:H)</f>
        <v>90.2</v>
      </c>
      <c r="P224" s="1">
        <f>Table1[[#This Row],[Billing Amount]]-Table1[[#This Row],[Expected charges]]</f>
        <v>44.800000000000004</v>
      </c>
      <c r="Q224" s="1" t="str" cm="1">
        <f t="array" ref="Q22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25" spans="1:17" x14ac:dyDescent="0.3">
      <c r="A225" s="3" t="s">
        <v>70</v>
      </c>
      <c r="B225" s="2">
        <f>Table1[[#This Row],[Order ID]]*1</f>
        <v>2001808475</v>
      </c>
      <c r="C225" s="2">
        <v>8904223818942</v>
      </c>
      <c r="D225">
        <v>1</v>
      </c>
      <c r="E225">
        <f>_xlfn.XLOOKUP(Table1[[#This Row],[SKU (Product Code)]],'SKU Master'!A:A,'SKU Master'!B:B)</f>
        <v>133</v>
      </c>
      <c r="F225">
        <f>Table1[[#This Row],[Product weight]]*Table1[[#This Row],[Order Qty]]</f>
        <v>133</v>
      </c>
      <c r="G225">
        <f>Table1[[#This Row],[Weight per order (g)]]/1000</f>
        <v>0.13300000000000001</v>
      </c>
      <c r="H225" s="1">
        <f>CEILING(Table1[[#This Row],[Weight per order (Kg)]],0.5)</f>
        <v>0.5</v>
      </c>
      <c r="I225" t="str">
        <f>_xlfn.XLOOKUP(Table1[[#This Row],[OrderID]],'Courier company invoice'!B:B,'Courier company invoice'!F:F)</f>
        <v>d</v>
      </c>
      <c r="J225" s="1" t="str">
        <f>_xlfn.XLOOKUP(Table1[[#This Row],[OrderID]],Table2[Order ID],Table2[Type of Shipment],"Not Found")</f>
        <v>Forward charges</v>
      </c>
      <c r="K225">
        <f>INDEX(Sheet1[],1,MATCH("fwd_"&amp;Table1[[#This Row],[Zone]]&amp;"_fixed",Sheet1[#Headers],0))</f>
        <v>45.4</v>
      </c>
      <c r="L225">
        <f>INDEX(Sheet1[],1,MATCH("fwd_"&amp;Table1[[#This Row],[Zone]]&amp;"_additional",Sheet1[#Headers],0))</f>
        <v>44.8</v>
      </c>
      <c r="M225" s="1">
        <f>(Table1[[#This Row],[Weight slab]]-0.5)/0.5</f>
        <v>0</v>
      </c>
      <c r="N225" s="1">
        <f>Table1[[#This Row],[Fixed_Charges]]+Table1[[#This Row],[No_of_Extra_slabs]]*Table1[[#This Row],[Additional_Charges]]</f>
        <v>45.4</v>
      </c>
      <c r="O225">
        <f>_xlfn.XLOOKUP(Table1[[#This Row],[OrderID]],'Courier company invoice'!B:B,'Courier company invoice'!H:H)</f>
        <v>90.2</v>
      </c>
      <c r="P225" s="1">
        <f>Table1[[#This Row],[Billing Amount]]-Table1[[#This Row],[Expected charges]]</f>
        <v>44.800000000000004</v>
      </c>
      <c r="Q225" s="1" t="str" cm="1">
        <f t="array" ref="Q22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26" spans="1:17" x14ac:dyDescent="0.3">
      <c r="A226" s="3" t="s">
        <v>70</v>
      </c>
      <c r="B226" s="2">
        <f>Table1[[#This Row],[Order ID]]*1</f>
        <v>2001808475</v>
      </c>
      <c r="C226" s="2">
        <v>8904223818850</v>
      </c>
      <c r="D226">
        <v>1</v>
      </c>
      <c r="E226">
        <f>_xlfn.XLOOKUP(Table1[[#This Row],[SKU (Product Code)]],'SKU Master'!A:A,'SKU Master'!B:B)</f>
        <v>240</v>
      </c>
      <c r="F226">
        <f>Table1[[#This Row],[Product weight]]*Table1[[#This Row],[Order Qty]]</f>
        <v>240</v>
      </c>
      <c r="G226">
        <f>Table1[[#This Row],[Weight per order (g)]]/1000</f>
        <v>0.24</v>
      </c>
      <c r="H226" s="1">
        <f>CEILING(Table1[[#This Row],[Weight per order (Kg)]],0.5)</f>
        <v>0.5</v>
      </c>
      <c r="I226" t="str">
        <f>_xlfn.XLOOKUP(Table1[[#This Row],[OrderID]],'Courier company invoice'!B:B,'Courier company invoice'!F:F)</f>
        <v>d</v>
      </c>
      <c r="J226" s="1" t="str">
        <f>_xlfn.XLOOKUP(Table1[[#This Row],[OrderID]],Table2[Order ID],Table2[Type of Shipment],"Not Found")</f>
        <v>Forward charges</v>
      </c>
      <c r="K226">
        <f>INDEX(Sheet1[],1,MATCH("fwd_"&amp;Table1[[#This Row],[Zone]]&amp;"_fixed",Sheet1[#Headers],0))</f>
        <v>45.4</v>
      </c>
      <c r="L226">
        <f>INDEX(Sheet1[],1,MATCH("fwd_"&amp;Table1[[#This Row],[Zone]]&amp;"_additional",Sheet1[#Headers],0))</f>
        <v>44.8</v>
      </c>
      <c r="M226" s="1">
        <f>(Table1[[#This Row],[Weight slab]]-0.5)/0.5</f>
        <v>0</v>
      </c>
      <c r="N226" s="1">
        <f>Table1[[#This Row],[Fixed_Charges]]+Table1[[#This Row],[No_of_Extra_slabs]]*Table1[[#This Row],[Additional_Charges]]</f>
        <v>45.4</v>
      </c>
      <c r="O226">
        <f>_xlfn.XLOOKUP(Table1[[#This Row],[OrderID]],'Courier company invoice'!B:B,'Courier company invoice'!H:H)</f>
        <v>90.2</v>
      </c>
      <c r="P226" s="1">
        <f>Table1[[#This Row],[Billing Amount]]-Table1[[#This Row],[Expected charges]]</f>
        <v>44.800000000000004</v>
      </c>
      <c r="Q226" s="1" t="str" cm="1">
        <f t="array" ref="Q22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27" spans="1:17" x14ac:dyDescent="0.3">
      <c r="A227" s="3" t="s">
        <v>71</v>
      </c>
      <c r="B227" s="2">
        <f>Table1[[#This Row],[Order ID]]*1</f>
        <v>2001808295</v>
      </c>
      <c r="C227" s="2">
        <v>8904223819161</v>
      </c>
      <c r="D227">
        <v>1</v>
      </c>
      <c r="E227">
        <f>_xlfn.XLOOKUP(Table1[[#This Row],[SKU (Product Code)]],'SKU Master'!A:A,'SKU Master'!B:B)</f>
        <v>115</v>
      </c>
      <c r="F227">
        <f>Table1[[#This Row],[Product weight]]*Table1[[#This Row],[Order Qty]]</f>
        <v>115</v>
      </c>
      <c r="G227">
        <f>Table1[[#This Row],[Weight per order (g)]]/1000</f>
        <v>0.115</v>
      </c>
      <c r="H227" s="1">
        <f>CEILING(Table1[[#This Row],[Weight per order (Kg)]],0.5)</f>
        <v>0.5</v>
      </c>
      <c r="I227" t="str">
        <f>_xlfn.XLOOKUP(Table1[[#This Row],[OrderID]],'Courier company invoice'!B:B,'Courier company invoice'!F:F)</f>
        <v>e</v>
      </c>
      <c r="J227" s="1" t="str">
        <f>_xlfn.XLOOKUP(Table1[[#This Row],[OrderID]],Table2[Order ID],Table2[Type of Shipment],"Not Found")</f>
        <v>Forward and RTO charges</v>
      </c>
      <c r="K227">
        <f>INDEX(Sheet1[],1,MATCH("fwd_"&amp;Table1[[#This Row],[Zone]]&amp;"_fixed",Sheet1[#Headers],0))</f>
        <v>56.6</v>
      </c>
      <c r="L227">
        <f>INDEX(Sheet1[],1,MATCH("fwd_"&amp;Table1[[#This Row],[Zone]]&amp;"_additional",Sheet1[#Headers],0))</f>
        <v>55.5</v>
      </c>
      <c r="M227" s="1">
        <f>(Table1[[#This Row],[Weight slab]]-0.5)/0.5</f>
        <v>0</v>
      </c>
      <c r="N227" s="1">
        <f>Table1[[#This Row],[Fixed_Charges]]+Table1[[#This Row],[No_of_Extra_slabs]]*Table1[[#This Row],[Additional_Charges]]</f>
        <v>56.6</v>
      </c>
      <c r="O227">
        <f>_xlfn.XLOOKUP(Table1[[#This Row],[OrderID]],'Courier company invoice'!B:B,'Courier company invoice'!H:H)</f>
        <v>107.3</v>
      </c>
      <c r="P227" s="1">
        <f>Table1[[#This Row],[Billing Amount]]-Table1[[#This Row],[Expected charges]]</f>
        <v>50.699999999999996</v>
      </c>
      <c r="Q227" s="1" t="str" cm="1">
        <f t="array" ref="Q22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28" spans="1:17" x14ac:dyDescent="0.3">
      <c r="A228" s="3" t="s">
        <v>71</v>
      </c>
      <c r="B228" s="2">
        <f>Table1[[#This Row],[Order ID]]*1</f>
        <v>2001808295</v>
      </c>
      <c r="C228" s="2">
        <v>8904223819260</v>
      </c>
      <c r="D228">
        <v>1</v>
      </c>
      <c r="E228">
        <f>_xlfn.XLOOKUP(Table1[[#This Row],[SKU (Product Code)]],'SKU Master'!A:A,'SKU Master'!B:B)</f>
        <v>130</v>
      </c>
      <c r="F228">
        <f>Table1[[#This Row],[Product weight]]*Table1[[#This Row],[Order Qty]]</f>
        <v>130</v>
      </c>
      <c r="G228">
        <f>Table1[[#This Row],[Weight per order (g)]]/1000</f>
        <v>0.13</v>
      </c>
      <c r="H228" s="1">
        <f>CEILING(Table1[[#This Row],[Weight per order (Kg)]],0.5)</f>
        <v>0.5</v>
      </c>
      <c r="I228" t="str">
        <f>_xlfn.XLOOKUP(Table1[[#This Row],[OrderID]],'Courier company invoice'!B:B,'Courier company invoice'!F:F)</f>
        <v>e</v>
      </c>
      <c r="J228" s="1" t="str">
        <f>_xlfn.XLOOKUP(Table1[[#This Row],[OrderID]],Table2[Order ID],Table2[Type of Shipment],"Not Found")</f>
        <v>Forward and RTO charges</v>
      </c>
      <c r="K228">
        <f>INDEX(Sheet1[],1,MATCH("fwd_"&amp;Table1[[#This Row],[Zone]]&amp;"_fixed",Sheet1[#Headers],0))</f>
        <v>56.6</v>
      </c>
      <c r="L228">
        <f>INDEX(Sheet1[],1,MATCH("fwd_"&amp;Table1[[#This Row],[Zone]]&amp;"_additional",Sheet1[#Headers],0))</f>
        <v>55.5</v>
      </c>
      <c r="M228" s="1">
        <f>(Table1[[#This Row],[Weight slab]]-0.5)/0.5</f>
        <v>0</v>
      </c>
      <c r="N228" s="1">
        <f>Table1[[#This Row],[Fixed_Charges]]+Table1[[#This Row],[No_of_Extra_slabs]]*Table1[[#This Row],[Additional_Charges]]</f>
        <v>56.6</v>
      </c>
      <c r="O228">
        <f>_xlfn.XLOOKUP(Table1[[#This Row],[OrderID]],'Courier company invoice'!B:B,'Courier company invoice'!H:H)</f>
        <v>107.3</v>
      </c>
      <c r="P228" s="1">
        <f>Table1[[#This Row],[Billing Amount]]-Table1[[#This Row],[Expected charges]]</f>
        <v>50.699999999999996</v>
      </c>
      <c r="Q228" s="1" t="str" cm="1">
        <f t="array" ref="Q22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29" spans="1:17" x14ac:dyDescent="0.3">
      <c r="A229" s="3" t="s">
        <v>72</v>
      </c>
      <c r="B229" s="2">
        <f>Table1[[#This Row],[Order ID]]*1</f>
        <v>2001808286</v>
      </c>
      <c r="C229" s="2">
        <v>8904223818683</v>
      </c>
      <c r="D229">
        <v>1</v>
      </c>
      <c r="E229">
        <f>_xlfn.XLOOKUP(Table1[[#This Row],[SKU (Product Code)]],'SKU Master'!A:A,'SKU Master'!B:B)</f>
        <v>121</v>
      </c>
      <c r="F229">
        <f>Table1[[#This Row],[Product weight]]*Table1[[#This Row],[Order Qty]]</f>
        <v>121</v>
      </c>
      <c r="G229">
        <f>Table1[[#This Row],[Weight per order (g)]]/1000</f>
        <v>0.121</v>
      </c>
      <c r="H229" s="1">
        <f>CEILING(Table1[[#This Row],[Weight per order (Kg)]],0.5)</f>
        <v>0.5</v>
      </c>
      <c r="I229" t="str">
        <f>_xlfn.XLOOKUP(Table1[[#This Row],[OrderID]],'Courier company invoice'!B:B,'Courier company invoice'!F:F)</f>
        <v>d</v>
      </c>
      <c r="J229" s="1" t="str">
        <f>_xlfn.XLOOKUP(Table1[[#This Row],[OrderID]],Table2[Order ID],Table2[Type of Shipment],"Not Found")</f>
        <v>Forward charges</v>
      </c>
      <c r="K229">
        <f>INDEX(Sheet1[],1,MATCH("fwd_"&amp;Table1[[#This Row],[Zone]]&amp;"_fixed",Sheet1[#Headers],0))</f>
        <v>45.4</v>
      </c>
      <c r="L229">
        <f>INDEX(Sheet1[],1,MATCH("fwd_"&amp;Table1[[#This Row],[Zone]]&amp;"_additional",Sheet1[#Headers],0))</f>
        <v>44.8</v>
      </c>
      <c r="M229" s="1">
        <f>(Table1[[#This Row],[Weight slab]]-0.5)/0.5</f>
        <v>0</v>
      </c>
      <c r="N229" s="1">
        <f>Table1[[#This Row],[Fixed_Charges]]+Table1[[#This Row],[No_of_Extra_slabs]]*Table1[[#This Row],[Additional_Charges]]</f>
        <v>45.4</v>
      </c>
      <c r="O229">
        <f>_xlfn.XLOOKUP(Table1[[#This Row],[OrderID]],'Courier company invoice'!B:B,'Courier company invoice'!H:H)</f>
        <v>90.2</v>
      </c>
      <c r="P229" s="1">
        <f>Table1[[#This Row],[Billing Amount]]-Table1[[#This Row],[Expected charges]]</f>
        <v>44.800000000000004</v>
      </c>
      <c r="Q229" s="1" t="str" cm="1">
        <f t="array" ref="Q22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30" spans="1:17" x14ac:dyDescent="0.3">
      <c r="A230" s="3" t="s">
        <v>72</v>
      </c>
      <c r="B230" s="2">
        <f>Table1[[#This Row],[Order ID]]*1</f>
        <v>2001808286</v>
      </c>
      <c r="C230" s="2">
        <v>8904223819468</v>
      </c>
      <c r="D230">
        <v>1</v>
      </c>
      <c r="E230">
        <f>_xlfn.XLOOKUP(Table1[[#This Row],[SKU (Product Code)]],'SKU Master'!A:A,'SKU Master'!B:B)</f>
        <v>240</v>
      </c>
      <c r="F230">
        <f>Table1[[#This Row],[Product weight]]*Table1[[#This Row],[Order Qty]]</f>
        <v>240</v>
      </c>
      <c r="G230">
        <f>Table1[[#This Row],[Weight per order (g)]]/1000</f>
        <v>0.24</v>
      </c>
      <c r="H230" s="1">
        <f>CEILING(Table1[[#This Row],[Weight per order (Kg)]],0.5)</f>
        <v>0.5</v>
      </c>
      <c r="I230" t="str">
        <f>_xlfn.XLOOKUP(Table1[[#This Row],[OrderID]],'Courier company invoice'!B:B,'Courier company invoice'!F:F)</f>
        <v>d</v>
      </c>
      <c r="J230" s="1" t="str">
        <f>_xlfn.XLOOKUP(Table1[[#This Row],[OrderID]],Table2[Order ID],Table2[Type of Shipment],"Not Found")</f>
        <v>Forward charges</v>
      </c>
      <c r="K230">
        <f>INDEX(Sheet1[],1,MATCH("fwd_"&amp;Table1[[#This Row],[Zone]]&amp;"_fixed",Sheet1[#Headers],0))</f>
        <v>45.4</v>
      </c>
      <c r="L230">
        <f>INDEX(Sheet1[],1,MATCH("fwd_"&amp;Table1[[#This Row],[Zone]]&amp;"_additional",Sheet1[#Headers],0))</f>
        <v>44.8</v>
      </c>
      <c r="M230" s="1">
        <f>(Table1[[#This Row],[Weight slab]]-0.5)/0.5</f>
        <v>0</v>
      </c>
      <c r="N230" s="1">
        <f>Table1[[#This Row],[Fixed_Charges]]+Table1[[#This Row],[No_of_Extra_slabs]]*Table1[[#This Row],[Additional_Charges]]</f>
        <v>45.4</v>
      </c>
      <c r="O230">
        <f>_xlfn.XLOOKUP(Table1[[#This Row],[OrderID]],'Courier company invoice'!B:B,'Courier company invoice'!H:H)</f>
        <v>90.2</v>
      </c>
      <c r="P230" s="1">
        <f>Table1[[#This Row],[Billing Amount]]-Table1[[#This Row],[Expected charges]]</f>
        <v>44.800000000000004</v>
      </c>
      <c r="Q230" s="1" t="str" cm="1">
        <f t="array" ref="Q23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31" spans="1:17" x14ac:dyDescent="0.3">
      <c r="A231" s="3" t="s">
        <v>72</v>
      </c>
      <c r="B231" s="2">
        <f>Table1[[#This Row],[Order ID]]*1</f>
        <v>2001808286</v>
      </c>
      <c r="C231" s="2">
        <v>8904223818850</v>
      </c>
      <c r="D231">
        <v>1</v>
      </c>
      <c r="E231">
        <f>_xlfn.XLOOKUP(Table1[[#This Row],[SKU (Product Code)]],'SKU Master'!A:A,'SKU Master'!B:B)</f>
        <v>240</v>
      </c>
      <c r="F231">
        <f>Table1[[#This Row],[Product weight]]*Table1[[#This Row],[Order Qty]]</f>
        <v>240</v>
      </c>
      <c r="G231">
        <f>Table1[[#This Row],[Weight per order (g)]]/1000</f>
        <v>0.24</v>
      </c>
      <c r="H231" s="1">
        <f>CEILING(Table1[[#This Row],[Weight per order (Kg)]],0.5)</f>
        <v>0.5</v>
      </c>
      <c r="I231" t="str">
        <f>_xlfn.XLOOKUP(Table1[[#This Row],[OrderID]],'Courier company invoice'!B:B,'Courier company invoice'!F:F)</f>
        <v>d</v>
      </c>
      <c r="J231" s="1" t="str">
        <f>_xlfn.XLOOKUP(Table1[[#This Row],[OrderID]],Table2[Order ID],Table2[Type of Shipment],"Not Found")</f>
        <v>Forward charges</v>
      </c>
      <c r="K231">
        <f>INDEX(Sheet1[],1,MATCH("fwd_"&amp;Table1[[#This Row],[Zone]]&amp;"_fixed",Sheet1[#Headers],0))</f>
        <v>45.4</v>
      </c>
      <c r="L231">
        <f>INDEX(Sheet1[],1,MATCH("fwd_"&amp;Table1[[#This Row],[Zone]]&amp;"_additional",Sheet1[#Headers],0))</f>
        <v>44.8</v>
      </c>
      <c r="M231" s="1">
        <f>(Table1[[#This Row],[Weight slab]]-0.5)/0.5</f>
        <v>0</v>
      </c>
      <c r="N231" s="1">
        <f>Table1[[#This Row],[Fixed_Charges]]+Table1[[#This Row],[No_of_Extra_slabs]]*Table1[[#This Row],[Additional_Charges]]</f>
        <v>45.4</v>
      </c>
      <c r="O231">
        <f>_xlfn.XLOOKUP(Table1[[#This Row],[OrderID]],'Courier company invoice'!B:B,'Courier company invoice'!H:H)</f>
        <v>90.2</v>
      </c>
      <c r="P231" s="1">
        <f>Table1[[#This Row],[Billing Amount]]-Table1[[#This Row],[Expected charges]]</f>
        <v>44.800000000000004</v>
      </c>
      <c r="Q231" s="1" t="str" cm="1">
        <f t="array" ref="Q23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32" spans="1:17" x14ac:dyDescent="0.3">
      <c r="A232" s="3" t="s">
        <v>73</v>
      </c>
      <c r="B232" s="2">
        <f>Table1[[#This Row],[Order ID]]*1</f>
        <v>2001808207</v>
      </c>
      <c r="C232" s="2">
        <v>8904223818706</v>
      </c>
      <c r="D232">
        <v>1</v>
      </c>
      <c r="E232">
        <f>_xlfn.XLOOKUP(Table1[[#This Row],[SKU (Product Code)]],'SKU Master'!A:A,'SKU Master'!B:B)</f>
        <v>127</v>
      </c>
      <c r="F232">
        <f>Table1[[#This Row],[Product weight]]*Table1[[#This Row],[Order Qty]]</f>
        <v>127</v>
      </c>
      <c r="G232">
        <f>Table1[[#This Row],[Weight per order (g)]]/1000</f>
        <v>0.127</v>
      </c>
      <c r="H232" s="1">
        <f>CEILING(Table1[[#This Row],[Weight per order (Kg)]],0.5)</f>
        <v>0.5</v>
      </c>
      <c r="I232" t="str">
        <f>_xlfn.XLOOKUP(Table1[[#This Row],[OrderID]],'Courier company invoice'!B:B,'Courier company invoice'!F:F)</f>
        <v>d</v>
      </c>
      <c r="J232" s="1" t="str">
        <f>_xlfn.XLOOKUP(Table1[[#This Row],[OrderID]],Table2[Order ID],Table2[Type of Shipment],"Not Found")</f>
        <v>Forward charges</v>
      </c>
      <c r="K232">
        <f>INDEX(Sheet1[],1,MATCH("fwd_"&amp;Table1[[#This Row],[Zone]]&amp;"_fixed",Sheet1[#Headers],0))</f>
        <v>45.4</v>
      </c>
      <c r="L232">
        <f>INDEX(Sheet1[],1,MATCH("fwd_"&amp;Table1[[#This Row],[Zone]]&amp;"_additional",Sheet1[#Headers],0))</f>
        <v>44.8</v>
      </c>
      <c r="M232" s="1">
        <f>(Table1[[#This Row],[Weight slab]]-0.5)/0.5</f>
        <v>0</v>
      </c>
      <c r="N232" s="1">
        <f>Table1[[#This Row],[Fixed_Charges]]+Table1[[#This Row],[No_of_Extra_slabs]]*Table1[[#This Row],[Additional_Charges]]</f>
        <v>45.4</v>
      </c>
      <c r="O232">
        <f>_xlfn.XLOOKUP(Table1[[#This Row],[OrderID]],'Courier company invoice'!B:B,'Courier company invoice'!H:H)</f>
        <v>90.2</v>
      </c>
      <c r="P232" s="1">
        <f>Table1[[#This Row],[Billing Amount]]-Table1[[#This Row],[Expected charges]]</f>
        <v>44.800000000000004</v>
      </c>
      <c r="Q232" s="1" t="str" cm="1">
        <f t="array" ref="Q23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33" spans="1:17" x14ac:dyDescent="0.3">
      <c r="A233" s="3" t="s">
        <v>73</v>
      </c>
      <c r="B233" s="2">
        <f>Table1[[#This Row],[Order ID]]*1</f>
        <v>2001808207</v>
      </c>
      <c r="C233" s="2">
        <v>8904223818850</v>
      </c>
      <c r="D233">
        <v>1</v>
      </c>
      <c r="E233">
        <f>_xlfn.XLOOKUP(Table1[[#This Row],[SKU (Product Code)]],'SKU Master'!A:A,'SKU Master'!B:B)</f>
        <v>240</v>
      </c>
      <c r="F233">
        <f>Table1[[#This Row],[Product weight]]*Table1[[#This Row],[Order Qty]]</f>
        <v>240</v>
      </c>
      <c r="G233">
        <f>Table1[[#This Row],[Weight per order (g)]]/1000</f>
        <v>0.24</v>
      </c>
      <c r="H233" s="1">
        <f>CEILING(Table1[[#This Row],[Weight per order (Kg)]],0.5)</f>
        <v>0.5</v>
      </c>
      <c r="I233" t="str">
        <f>_xlfn.XLOOKUP(Table1[[#This Row],[OrderID]],'Courier company invoice'!B:B,'Courier company invoice'!F:F)</f>
        <v>d</v>
      </c>
      <c r="J233" s="1" t="str">
        <f>_xlfn.XLOOKUP(Table1[[#This Row],[OrderID]],Table2[Order ID],Table2[Type of Shipment],"Not Found")</f>
        <v>Forward charges</v>
      </c>
      <c r="K233">
        <f>INDEX(Sheet1[],1,MATCH("fwd_"&amp;Table1[[#This Row],[Zone]]&amp;"_fixed",Sheet1[#Headers],0))</f>
        <v>45.4</v>
      </c>
      <c r="L233">
        <f>INDEX(Sheet1[],1,MATCH("fwd_"&amp;Table1[[#This Row],[Zone]]&amp;"_additional",Sheet1[#Headers],0))</f>
        <v>44.8</v>
      </c>
      <c r="M233" s="1">
        <f>(Table1[[#This Row],[Weight slab]]-0.5)/0.5</f>
        <v>0</v>
      </c>
      <c r="N233" s="1">
        <f>Table1[[#This Row],[Fixed_Charges]]+Table1[[#This Row],[No_of_Extra_slabs]]*Table1[[#This Row],[Additional_Charges]]</f>
        <v>45.4</v>
      </c>
      <c r="O233">
        <f>_xlfn.XLOOKUP(Table1[[#This Row],[OrderID]],'Courier company invoice'!B:B,'Courier company invoice'!H:H)</f>
        <v>90.2</v>
      </c>
      <c r="P233" s="1">
        <f>Table1[[#This Row],[Billing Amount]]-Table1[[#This Row],[Expected charges]]</f>
        <v>44.800000000000004</v>
      </c>
      <c r="Q233" s="1" t="str" cm="1">
        <f t="array" ref="Q23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34" spans="1:17" x14ac:dyDescent="0.3">
      <c r="A234" s="3" t="s">
        <v>73</v>
      </c>
      <c r="B234" s="2">
        <f>Table1[[#This Row],[Order ID]]*1</f>
        <v>2001808207</v>
      </c>
      <c r="C234" s="2">
        <v>8904223819468</v>
      </c>
      <c r="D234">
        <v>1</v>
      </c>
      <c r="E234">
        <f>_xlfn.XLOOKUP(Table1[[#This Row],[SKU (Product Code)]],'SKU Master'!A:A,'SKU Master'!B:B)</f>
        <v>240</v>
      </c>
      <c r="F234">
        <f>Table1[[#This Row],[Product weight]]*Table1[[#This Row],[Order Qty]]</f>
        <v>240</v>
      </c>
      <c r="G234">
        <f>Table1[[#This Row],[Weight per order (g)]]/1000</f>
        <v>0.24</v>
      </c>
      <c r="H234" s="1">
        <f>CEILING(Table1[[#This Row],[Weight per order (Kg)]],0.5)</f>
        <v>0.5</v>
      </c>
      <c r="I234" t="str">
        <f>_xlfn.XLOOKUP(Table1[[#This Row],[OrderID]],'Courier company invoice'!B:B,'Courier company invoice'!F:F)</f>
        <v>d</v>
      </c>
      <c r="J234" s="1" t="str">
        <f>_xlfn.XLOOKUP(Table1[[#This Row],[OrderID]],Table2[Order ID],Table2[Type of Shipment],"Not Found")</f>
        <v>Forward charges</v>
      </c>
      <c r="K234">
        <f>INDEX(Sheet1[],1,MATCH("fwd_"&amp;Table1[[#This Row],[Zone]]&amp;"_fixed",Sheet1[#Headers],0))</f>
        <v>45.4</v>
      </c>
      <c r="L234">
        <f>INDEX(Sheet1[],1,MATCH("fwd_"&amp;Table1[[#This Row],[Zone]]&amp;"_additional",Sheet1[#Headers],0))</f>
        <v>44.8</v>
      </c>
      <c r="M234" s="1">
        <f>(Table1[[#This Row],[Weight slab]]-0.5)/0.5</f>
        <v>0</v>
      </c>
      <c r="N234" s="1">
        <f>Table1[[#This Row],[Fixed_Charges]]+Table1[[#This Row],[No_of_Extra_slabs]]*Table1[[#This Row],[Additional_Charges]]</f>
        <v>45.4</v>
      </c>
      <c r="O234">
        <f>_xlfn.XLOOKUP(Table1[[#This Row],[OrderID]],'Courier company invoice'!B:B,'Courier company invoice'!H:H)</f>
        <v>90.2</v>
      </c>
      <c r="P234" s="1">
        <f>Table1[[#This Row],[Billing Amount]]-Table1[[#This Row],[Expected charges]]</f>
        <v>44.800000000000004</v>
      </c>
      <c r="Q234" s="1" t="str" cm="1">
        <f t="array" ref="Q23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35" spans="1:17" x14ac:dyDescent="0.3">
      <c r="A235" s="3" t="s">
        <v>74</v>
      </c>
      <c r="B235" s="2">
        <f>Table1[[#This Row],[Order ID]]*1</f>
        <v>2001808118</v>
      </c>
      <c r="C235" s="2">
        <v>8904223815859</v>
      </c>
      <c r="D235">
        <v>1</v>
      </c>
      <c r="E235">
        <f>_xlfn.XLOOKUP(Table1[[#This Row],[SKU (Product Code)]],'SKU Master'!A:A,'SKU Master'!B:B)</f>
        <v>165</v>
      </c>
      <c r="F235">
        <f>Table1[[#This Row],[Product weight]]*Table1[[#This Row],[Order Qty]]</f>
        <v>165</v>
      </c>
      <c r="G235">
        <f>Table1[[#This Row],[Weight per order (g)]]/1000</f>
        <v>0.16500000000000001</v>
      </c>
      <c r="H235" s="1">
        <f>CEILING(Table1[[#This Row],[Weight per order (Kg)]],0.5)</f>
        <v>0.5</v>
      </c>
      <c r="I235" t="str">
        <f>_xlfn.XLOOKUP(Table1[[#This Row],[OrderID]],'Courier company invoice'!B:B,'Courier company invoice'!F:F)</f>
        <v>b</v>
      </c>
      <c r="J235" s="1" t="str">
        <f>_xlfn.XLOOKUP(Table1[[#This Row],[OrderID]],Table2[Order ID],Table2[Type of Shipment],"Not Found")</f>
        <v>Forward charges</v>
      </c>
      <c r="K235">
        <f>INDEX(Sheet1[],1,MATCH("fwd_"&amp;Table1[[#This Row],[Zone]]&amp;"_fixed",Sheet1[#Headers],0))</f>
        <v>33</v>
      </c>
      <c r="L235">
        <f>INDEX(Sheet1[],1,MATCH("fwd_"&amp;Table1[[#This Row],[Zone]]&amp;"_additional",Sheet1[#Headers],0))</f>
        <v>28.3</v>
      </c>
      <c r="M235" s="1">
        <f>(Table1[[#This Row],[Weight slab]]-0.5)/0.5</f>
        <v>0</v>
      </c>
      <c r="N235" s="1">
        <f>Table1[[#This Row],[Fixed_Charges]]+Table1[[#This Row],[No_of_Extra_slabs]]*Table1[[#This Row],[Additional_Charges]]</f>
        <v>33</v>
      </c>
      <c r="O235">
        <f>_xlfn.XLOOKUP(Table1[[#This Row],[OrderID]],'Courier company invoice'!B:B,'Courier company invoice'!H:H)</f>
        <v>33</v>
      </c>
      <c r="P235" s="1">
        <f>Table1[[#This Row],[Billing Amount]]-Table1[[#This Row],[Expected charges]]</f>
        <v>0</v>
      </c>
      <c r="Q235" s="1" t="str" cm="1">
        <f t="array" ref="Q23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236" spans="1:17" x14ac:dyDescent="0.3">
      <c r="A236" s="3" t="s">
        <v>74</v>
      </c>
      <c r="B236" s="2">
        <f>Table1[[#This Row],[Order ID]]*1</f>
        <v>2001808118</v>
      </c>
      <c r="C236" s="2">
        <v>8904223817273</v>
      </c>
      <c r="D236">
        <v>1</v>
      </c>
      <c r="E236">
        <f>_xlfn.XLOOKUP(Table1[[#This Row],[SKU (Product Code)]],'SKU Master'!A:A,'SKU Master'!B:B)</f>
        <v>65</v>
      </c>
      <c r="F236">
        <f>Table1[[#This Row],[Product weight]]*Table1[[#This Row],[Order Qty]]</f>
        <v>65</v>
      </c>
      <c r="G236">
        <f>Table1[[#This Row],[Weight per order (g)]]/1000</f>
        <v>6.5000000000000002E-2</v>
      </c>
      <c r="H236" s="1">
        <f>CEILING(Table1[[#This Row],[Weight per order (Kg)]],0.5)</f>
        <v>0.5</v>
      </c>
      <c r="I236" t="str">
        <f>_xlfn.XLOOKUP(Table1[[#This Row],[OrderID]],'Courier company invoice'!B:B,'Courier company invoice'!F:F)</f>
        <v>b</v>
      </c>
      <c r="J236" s="1" t="str">
        <f>_xlfn.XLOOKUP(Table1[[#This Row],[OrderID]],Table2[Order ID],Table2[Type of Shipment],"Not Found")</f>
        <v>Forward charges</v>
      </c>
      <c r="K236">
        <f>INDEX(Sheet1[],1,MATCH("fwd_"&amp;Table1[[#This Row],[Zone]]&amp;"_fixed",Sheet1[#Headers],0))</f>
        <v>33</v>
      </c>
      <c r="L236">
        <f>INDEX(Sheet1[],1,MATCH("fwd_"&amp;Table1[[#This Row],[Zone]]&amp;"_additional",Sheet1[#Headers],0))</f>
        <v>28.3</v>
      </c>
      <c r="M236" s="1">
        <f>(Table1[[#This Row],[Weight slab]]-0.5)/0.5</f>
        <v>0</v>
      </c>
      <c r="N236" s="1">
        <f>Table1[[#This Row],[Fixed_Charges]]+Table1[[#This Row],[No_of_Extra_slabs]]*Table1[[#This Row],[Additional_Charges]]</f>
        <v>33</v>
      </c>
      <c r="O236">
        <f>_xlfn.XLOOKUP(Table1[[#This Row],[OrderID]],'Courier company invoice'!B:B,'Courier company invoice'!H:H)</f>
        <v>33</v>
      </c>
      <c r="P236" s="1">
        <f>Table1[[#This Row],[Billing Amount]]-Table1[[#This Row],[Expected charges]]</f>
        <v>0</v>
      </c>
      <c r="Q236" s="1" t="str" cm="1">
        <f t="array" ref="Q23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237" spans="1:17" x14ac:dyDescent="0.3">
      <c r="A237" s="3" t="s">
        <v>74</v>
      </c>
      <c r="B237" s="2">
        <f>Table1[[#This Row],[Order ID]]*1</f>
        <v>2001808118</v>
      </c>
      <c r="C237" s="2">
        <v>8904223818751</v>
      </c>
      <c r="D237">
        <v>1</v>
      </c>
      <c r="E237">
        <f>_xlfn.XLOOKUP(Table1[[#This Row],[SKU (Product Code)]],'SKU Master'!A:A,'SKU Master'!B:B)</f>
        <v>113</v>
      </c>
      <c r="F237">
        <f>Table1[[#This Row],[Product weight]]*Table1[[#This Row],[Order Qty]]</f>
        <v>113</v>
      </c>
      <c r="G237">
        <f>Table1[[#This Row],[Weight per order (g)]]/1000</f>
        <v>0.113</v>
      </c>
      <c r="H237" s="1">
        <f>CEILING(Table1[[#This Row],[Weight per order (Kg)]],0.5)</f>
        <v>0.5</v>
      </c>
      <c r="I237" t="str">
        <f>_xlfn.XLOOKUP(Table1[[#This Row],[OrderID]],'Courier company invoice'!B:B,'Courier company invoice'!F:F)</f>
        <v>b</v>
      </c>
      <c r="J237" s="1" t="str">
        <f>_xlfn.XLOOKUP(Table1[[#This Row],[OrderID]],Table2[Order ID],Table2[Type of Shipment],"Not Found")</f>
        <v>Forward charges</v>
      </c>
      <c r="K237">
        <f>INDEX(Sheet1[],1,MATCH("fwd_"&amp;Table1[[#This Row],[Zone]]&amp;"_fixed",Sheet1[#Headers],0))</f>
        <v>33</v>
      </c>
      <c r="L237">
        <f>INDEX(Sheet1[],1,MATCH("fwd_"&amp;Table1[[#This Row],[Zone]]&amp;"_additional",Sheet1[#Headers],0))</f>
        <v>28.3</v>
      </c>
      <c r="M237" s="1">
        <f>(Table1[[#This Row],[Weight slab]]-0.5)/0.5</f>
        <v>0</v>
      </c>
      <c r="N237" s="1">
        <f>Table1[[#This Row],[Fixed_Charges]]+Table1[[#This Row],[No_of_Extra_slabs]]*Table1[[#This Row],[Additional_Charges]]</f>
        <v>33</v>
      </c>
      <c r="O237">
        <f>_xlfn.XLOOKUP(Table1[[#This Row],[OrderID]],'Courier company invoice'!B:B,'Courier company invoice'!H:H)</f>
        <v>33</v>
      </c>
      <c r="P237" s="1">
        <f>Table1[[#This Row],[Billing Amount]]-Table1[[#This Row],[Expected charges]]</f>
        <v>0</v>
      </c>
      <c r="Q237" s="1" t="str" cm="1">
        <f t="array" ref="Q23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238" spans="1:17" x14ac:dyDescent="0.3">
      <c r="A238" s="3" t="s">
        <v>75</v>
      </c>
      <c r="B238" s="2">
        <f>Table1[[#This Row],[Order ID]]*1</f>
        <v>2001808102</v>
      </c>
      <c r="C238" s="2">
        <v>8904223819291</v>
      </c>
      <c r="D238">
        <v>2</v>
      </c>
      <c r="E238">
        <f>_xlfn.XLOOKUP(Table1[[#This Row],[SKU (Product Code)]],'SKU Master'!A:A,'SKU Master'!B:B)</f>
        <v>112</v>
      </c>
      <c r="F238">
        <f>Table1[[#This Row],[Product weight]]*Table1[[#This Row],[Order Qty]]</f>
        <v>224</v>
      </c>
      <c r="G238">
        <f>Table1[[#This Row],[Weight per order (g)]]/1000</f>
        <v>0.224</v>
      </c>
      <c r="H238" s="1">
        <f>CEILING(Table1[[#This Row],[Weight per order (Kg)]],0.5)</f>
        <v>0.5</v>
      </c>
      <c r="I238" t="str">
        <f>_xlfn.XLOOKUP(Table1[[#This Row],[OrderID]],'Courier company invoice'!B:B,'Courier company invoice'!F:F)</f>
        <v>d</v>
      </c>
      <c r="J238" s="1" t="str">
        <f>_xlfn.XLOOKUP(Table1[[#This Row],[OrderID]],Table2[Order ID],Table2[Type of Shipment],"Not Found")</f>
        <v>Forward charges</v>
      </c>
      <c r="K238">
        <f>INDEX(Sheet1[],1,MATCH("fwd_"&amp;Table1[[#This Row],[Zone]]&amp;"_fixed",Sheet1[#Headers],0))</f>
        <v>45.4</v>
      </c>
      <c r="L238">
        <f>INDEX(Sheet1[],1,MATCH("fwd_"&amp;Table1[[#This Row],[Zone]]&amp;"_additional",Sheet1[#Headers],0))</f>
        <v>44.8</v>
      </c>
      <c r="M238" s="1">
        <f>(Table1[[#This Row],[Weight slab]]-0.5)/0.5</f>
        <v>0</v>
      </c>
      <c r="N238" s="1">
        <f>Table1[[#This Row],[Fixed_Charges]]+Table1[[#This Row],[No_of_Extra_slabs]]*Table1[[#This Row],[Additional_Charges]]</f>
        <v>45.4</v>
      </c>
      <c r="O238">
        <f>_xlfn.XLOOKUP(Table1[[#This Row],[OrderID]],'Courier company invoice'!B:B,'Courier company invoice'!H:H)</f>
        <v>135</v>
      </c>
      <c r="P238" s="1">
        <f>Table1[[#This Row],[Billing Amount]]-Table1[[#This Row],[Expected charges]]</f>
        <v>89.6</v>
      </c>
      <c r="Q238" s="1" t="str" cm="1">
        <f t="array" ref="Q23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39" spans="1:17" x14ac:dyDescent="0.3">
      <c r="A239" s="3" t="s">
        <v>75</v>
      </c>
      <c r="B239" s="2">
        <f>Table1[[#This Row],[Order ID]]*1</f>
        <v>2001808102</v>
      </c>
      <c r="C239" s="2">
        <v>8904223819031</v>
      </c>
      <c r="D239">
        <v>2</v>
      </c>
      <c r="E239">
        <f>_xlfn.XLOOKUP(Table1[[#This Row],[SKU (Product Code)]],'SKU Master'!A:A,'SKU Master'!B:B)</f>
        <v>112</v>
      </c>
      <c r="F239">
        <f>Table1[[#This Row],[Product weight]]*Table1[[#This Row],[Order Qty]]</f>
        <v>224</v>
      </c>
      <c r="G239">
        <f>Table1[[#This Row],[Weight per order (g)]]/1000</f>
        <v>0.224</v>
      </c>
      <c r="H239" s="1">
        <f>CEILING(Table1[[#This Row],[Weight per order (Kg)]],0.5)</f>
        <v>0.5</v>
      </c>
      <c r="I239" t="str">
        <f>_xlfn.XLOOKUP(Table1[[#This Row],[OrderID]],'Courier company invoice'!B:B,'Courier company invoice'!F:F)</f>
        <v>d</v>
      </c>
      <c r="J239" s="1" t="str">
        <f>_xlfn.XLOOKUP(Table1[[#This Row],[OrderID]],Table2[Order ID],Table2[Type of Shipment],"Not Found")</f>
        <v>Forward charges</v>
      </c>
      <c r="K239">
        <f>INDEX(Sheet1[],1,MATCH("fwd_"&amp;Table1[[#This Row],[Zone]]&amp;"_fixed",Sheet1[#Headers],0))</f>
        <v>45.4</v>
      </c>
      <c r="L239">
        <f>INDEX(Sheet1[],1,MATCH("fwd_"&amp;Table1[[#This Row],[Zone]]&amp;"_additional",Sheet1[#Headers],0))</f>
        <v>44.8</v>
      </c>
      <c r="M239" s="1">
        <f>(Table1[[#This Row],[Weight slab]]-0.5)/0.5</f>
        <v>0</v>
      </c>
      <c r="N239" s="1">
        <f>Table1[[#This Row],[Fixed_Charges]]+Table1[[#This Row],[No_of_Extra_slabs]]*Table1[[#This Row],[Additional_Charges]]</f>
        <v>45.4</v>
      </c>
      <c r="O239">
        <f>_xlfn.XLOOKUP(Table1[[#This Row],[OrderID]],'Courier company invoice'!B:B,'Courier company invoice'!H:H)</f>
        <v>135</v>
      </c>
      <c r="P239" s="1">
        <f>Table1[[#This Row],[Billing Amount]]-Table1[[#This Row],[Expected charges]]</f>
        <v>89.6</v>
      </c>
      <c r="Q239" s="1" t="str" cm="1">
        <f t="array" ref="Q23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40" spans="1:17" x14ac:dyDescent="0.3">
      <c r="A240" s="3" t="s">
        <v>75</v>
      </c>
      <c r="B240" s="2">
        <f>Table1[[#This Row],[Order ID]]*1</f>
        <v>2001808102</v>
      </c>
      <c r="C240" s="2">
        <v>8904223819024</v>
      </c>
      <c r="D240">
        <v>2</v>
      </c>
      <c r="E240">
        <f>_xlfn.XLOOKUP(Table1[[#This Row],[SKU (Product Code)]],'SKU Master'!A:A,'SKU Master'!B:B)</f>
        <v>112</v>
      </c>
      <c r="F240">
        <f>Table1[[#This Row],[Product weight]]*Table1[[#This Row],[Order Qty]]</f>
        <v>224</v>
      </c>
      <c r="G240">
        <f>Table1[[#This Row],[Weight per order (g)]]/1000</f>
        <v>0.224</v>
      </c>
      <c r="H240" s="1">
        <f>CEILING(Table1[[#This Row],[Weight per order (Kg)]],0.5)</f>
        <v>0.5</v>
      </c>
      <c r="I240" t="str">
        <f>_xlfn.XLOOKUP(Table1[[#This Row],[OrderID]],'Courier company invoice'!B:B,'Courier company invoice'!F:F)</f>
        <v>d</v>
      </c>
      <c r="J240" s="1" t="str">
        <f>_xlfn.XLOOKUP(Table1[[#This Row],[OrderID]],Table2[Order ID],Table2[Type of Shipment],"Not Found")</f>
        <v>Forward charges</v>
      </c>
      <c r="K240">
        <f>INDEX(Sheet1[],1,MATCH("fwd_"&amp;Table1[[#This Row],[Zone]]&amp;"_fixed",Sheet1[#Headers],0))</f>
        <v>45.4</v>
      </c>
      <c r="L240">
        <f>INDEX(Sheet1[],1,MATCH("fwd_"&amp;Table1[[#This Row],[Zone]]&amp;"_additional",Sheet1[#Headers],0))</f>
        <v>44.8</v>
      </c>
      <c r="M240" s="1">
        <f>(Table1[[#This Row],[Weight slab]]-0.5)/0.5</f>
        <v>0</v>
      </c>
      <c r="N240" s="1">
        <f>Table1[[#This Row],[Fixed_Charges]]+Table1[[#This Row],[No_of_Extra_slabs]]*Table1[[#This Row],[Additional_Charges]]</f>
        <v>45.4</v>
      </c>
      <c r="O240">
        <f>_xlfn.XLOOKUP(Table1[[#This Row],[OrderID]],'Courier company invoice'!B:B,'Courier company invoice'!H:H)</f>
        <v>135</v>
      </c>
      <c r="P240" s="1">
        <f>Table1[[#This Row],[Billing Amount]]-Table1[[#This Row],[Expected charges]]</f>
        <v>89.6</v>
      </c>
      <c r="Q240" s="1" t="str" cm="1">
        <f t="array" ref="Q24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41" spans="1:17" x14ac:dyDescent="0.3">
      <c r="A241" s="3" t="s">
        <v>75</v>
      </c>
      <c r="B241" s="2">
        <f>Table1[[#This Row],[Order ID]]*1</f>
        <v>2001808102</v>
      </c>
      <c r="C241" s="2">
        <v>8904223819161</v>
      </c>
      <c r="D241">
        <v>1</v>
      </c>
      <c r="E241">
        <f>_xlfn.XLOOKUP(Table1[[#This Row],[SKU (Product Code)]],'SKU Master'!A:A,'SKU Master'!B:B)</f>
        <v>115</v>
      </c>
      <c r="F241">
        <f>Table1[[#This Row],[Product weight]]*Table1[[#This Row],[Order Qty]]</f>
        <v>115</v>
      </c>
      <c r="G241">
        <f>Table1[[#This Row],[Weight per order (g)]]/1000</f>
        <v>0.115</v>
      </c>
      <c r="H241" s="1">
        <f>CEILING(Table1[[#This Row],[Weight per order (Kg)]],0.5)</f>
        <v>0.5</v>
      </c>
      <c r="I241" t="str">
        <f>_xlfn.XLOOKUP(Table1[[#This Row],[OrderID]],'Courier company invoice'!B:B,'Courier company invoice'!F:F)</f>
        <v>d</v>
      </c>
      <c r="J241" s="1" t="str">
        <f>_xlfn.XLOOKUP(Table1[[#This Row],[OrderID]],Table2[Order ID],Table2[Type of Shipment],"Not Found")</f>
        <v>Forward charges</v>
      </c>
      <c r="K241">
        <f>INDEX(Sheet1[],1,MATCH("fwd_"&amp;Table1[[#This Row],[Zone]]&amp;"_fixed",Sheet1[#Headers],0))</f>
        <v>45.4</v>
      </c>
      <c r="L241">
        <f>INDEX(Sheet1[],1,MATCH("fwd_"&amp;Table1[[#This Row],[Zone]]&amp;"_additional",Sheet1[#Headers],0))</f>
        <v>44.8</v>
      </c>
      <c r="M241" s="1">
        <f>(Table1[[#This Row],[Weight slab]]-0.5)/0.5</f>
        <v>0</v>
      </c>
      <c r="N241" s="1">
        <f>Table1[[#This Row],[Fixed_Charges]]+Table1[[#This Row],[No_of_Extra_slabs]]*Table1[[#This Row],[Additional_Charges]]</f>
        <v>45.4</v>
      </c>
      <c r="O241">
        <f>_xlfn.XLOOKUP(Table1[[#This Row],[OrderID]],'Courier company invoice'!B:B,'Courier company invoice'!H:H)</f>
        <v>135</v>
      </c>
      <c r="P241" s="1">
        <f>Table1[[#This Row],[Billing Amount]]-Table1[[#This Row],[Expected charges]]</f>
        <v>89.6</v>
      </c>
      <c r="Q241" s="1" t="str" cm="1">
        <f t="array" ref="Q24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42" spans="1:17" x14ac:dyDescent="0.3">
      <c r="A242" s="3" t="s">
        <v>75</v>
      </c>
      <c r="B242" s="2">
        <f>Table1[[#This Row],[Order ID]]*1</f>
        <v>2001808102</v>
      </c>
      <c r="C242" s="2">
        <v>8904223819260</v>
      </c>
      <c r="D242">
        <v>1</v>
      </c>
      <c r="E242">
        <f>_xlfn.XLOOKUP(Table1[[#This Row],[SKU (Product Code)]],'SKU Master'!A:A,'SKU Master'!B:B)</f>
        <v>130</v>
      </c>
      <c r="F242">
        <f>Table1[[#This Row],[Product weight]]*Table1[[#This Row],[Order Qty]]</f>
        <v>130</v>
      </c>
      <c r="G242">
        <f>Table1[[#This Row],[Weight per order (g)]]/1000</f>
        <v>0.13</v>
      </c>
      <c r="H242" s="1">
        <f>CEILING(Table1[[#This Row],[Weight per order (Kg)]],0.5)</f>
        <v>0.5</v>
      </c>
      <c r="I242" t="str">
        <f>_xlfn.XLOOKUP(Table1[[#This Row],[OrderID]],'Courier company invoice'!B:B,'Courier company invoice'!F:F)</f>
        <v>d</v>
      </c>
      <c r="J242" s="1" t="str">
        <f>_xlfn.XLOOKUP(Table1[[#This Row],[OrderID]],Table2[Order ID],Table2[Type of Shipment],"Not Found")</f>
        <v>Forward charges</v>
      </c>
      <c r="K242">
        <f>INDEX(Sheet1[],1,MATCH("fwd_"&amp;Table1[[#This Row],[Zone]]&amp;"_fixed",Sheet1[#Headers],0))</f>
        <v>45.4</v>
      </c>
      <c r="L242">
        <f>INDEX(Sheet1[],1,MATCH("fwd_"&amp;Table1[[#This Row],[Zone]]&amp;"_additional",Sheet1[#Headers],0))</f>
        <v>44.8</v>
      </c>
      <c r="M242" s="1">
        <f>(Table1[[#This Row],[Weight slab]]-0.5)/0.5</f>
        <v>0</v>
      </c>
      <c r="N242" s="1">
        <f>Table1[[#This Row],[Fixed_Charges]]+Table1[[#This Row],[No_of_Extra_slabs]]*Table1[[#This Row],[Additional_Charges]]</f>
        <v>45.4</v>
      </c>
      <c r="O242">
        <f>_xlfn.XLOOKUP(Table1[[#This Row],[OrderID]],'Courier company invoice'!B:B,'Courier company invoice'!H:H)</f>
        <v>135</v>
      </c>
      <c r="P242" s="1">
        <f>Table1[[#This Row],[Billing Amount]]-Table1[[#This Row],[Expected charges]]</f>
        <v>89.6</v>
      </c>
      <c r="Q242" s="1" t="str" cm="1">
        <f t="array" ref="Q24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43" spans="1:17" x14ac:dyDescent="0.3">
      <c r="A243" s="3" t="s">
        <v>75</v>
      </c>
      <c r="B243" s="2">
        <f>Table1[[#This Row],[Order ID]]*1</f>
        <v>2001808102</v>
      </c>
      <c r="C243" s="2">
        <v>8904223819468</v>
      </c>
      <c r="D243">
        <v>1</v>
      </c>
      <c r="E243">
        <f>_xlfn.XLOOKUP(Table1[[#This Row],[SKU (Product Code)]],'SKU Master'!A:A,'SKU Master'!B:B)</f>
        <v>240</v>
      </c>
      <c r="F243">
        <f>Table1[[#This Row],[Product weight]]*Table1[[#This Row],[Order Qty]]</f>
        <v>240</v>
      </c>
      <c r="G243">
        <f>Table1[[#This Row],[Weight per order (g)]]/1000</f>
        <v>0.24</v>
      </c>
      <c r="H243" s="1">
        <f>CEILING(Table1[[#This Row],[Weight per order (Kg)]],0.5)</f>
        <v>0.5</v>
      </c>
      <c r="I243" t="str">
        <f>_xlfn.XLOOKUP(Table1[[#This Row],[OrderID]],'Courier company invoice'!B:B,'Courier company invoice'!F:F)</f>
        <v>d</v>
      </c>
      <c r="J243" s="1" t="str">
        <f>_xlfn.XLOOKUP(Table1[[#This Row],[OrderID]],Table2[Order ID],Table2[Type of Shipment],"Not Found")</f>
        <v>Forward charges</v>
      </c>
      <c r="K243">
        <f>INDEX(Sheet1[],1,MATCH("fwd_"&amp;Table1[[#This Row],[Zone]]&amp;"_fixed",Sheet1[#Headers],0))</f>
        <v>45.4</v>
      </c>
      <c r="L243">
        <f>INDEX(Sheet1[],1,MATCH("fwd_"&amp;Table1[[#This Row],[Zone]]&amp;"_additional",Sheet1[#Headers],0))</f>
        <v>44.8</v>
      </c>
      <c r="M243" s="1">
        <f>(Table1[[#This Row],[Weight slab]]-0.5)/0.5</f>
        <v>0</v>
      </c>
      <c r="N243" s="1">
        <f>Table1[[#This Row],[Fixed_Charges]]+Table1[[#This Row],[No_of_Extra_slabs]]*Table1[[#This Row],[Additional_Charges]]</f>
        <v>45.4</v>
      </c>
      <c r="O243">
        <f>_xlfn.XLOOKUP(Table1[[#This Row],[OrderID]],'Courier company invoice'!B:B,'Courier company invoice'!H:H)</f>
        <v>135</v>
      </c>
      <c r="P243" s="1">
        <f>Table1[[#This Row],[Billing Amount]]-Table1[[#This Row],[Expected charges]]</f>
        <v>89.6</v>
      </c>
      <c r="Q243" s="1" t="str" cm="1">
        <f t="array" ref="Q24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44" spans="1:17" x14ac:dyDescent="0.3">
      <c r="A244" s="3" t="s">
        <v>76</v>
      </c>
      <c r="B244" s="2">
        <f>Table1[[#This Row],[Order ID]]*1</f>
        <v>2001807981</v>
      </c>
      <c r="C244" s="2">
        <v>8904223818706</v>
      </c>
      <c r="D244">
        <v>1</v>
      </c>
      <c r="E244">
        <f>_xlfn.XLOOKUP(Table1[[#This Row],[SKU (Product Code)]],'SKU Master'!A:A,'SKU Master'!B:B)</f>
        <v>127</v>
      </c>
      <c r="F244">
        <f>Table1[[#This Row],[Product weight]]*Table1[[#This Row],[Order Qty]]</f>
        <v>127</v>
      </c>
      <c r="G244">
        <f>Table1[[#This Row],[Weight per order (g)]]/1000</f>
        <v>0.127</v>
      </c>
      <c r="H244" s="1">
        <f>CEILING(Table1[[#This Row],[Weight per order (Kg)]],0.5)</f>
        <v>0.5</v>
      </c>
      <c r="I244" t="str">
        <f>_xlfn.XLOOKUP(Table1[[#This Row],[OrderID]],'Courier company invoice'!B:B,'Courier company invoice'!F:F)</f>
        <v>d</v>
      </c>
      <c r="J244" s="1" t="str">
        <f>_xlfn.XLOOKUP(Table1[[#This Row],[OrderID]],Table2[Order ID],Table2[Type of Shipment],"Not Found")</f>
        <v>Forward charges</v>
      </c>
      <c r="K244">
        <f>INDEX(Sheet1[],1,MATCH("fwd_"&amp;Table1[[#This Row],[Zone]]&amp;"_fixed",Sheet1[#Headers],0))</f>
        <v>45.4</v>
      </c>
      <c r="L244">
        <f>INDEX(Sheet1[],1,MATCH("fwd_"&amp;Table1[[#This Row],[Zone]]&amp;"_additional",Sheet1[#Headers],0))</f>
        <v>44.8</v>
      </c>
      <c r="M244" s="1">
        <f>(Table1[[#This Row],[Weight slab]]-0.5)/0.5</f>
        <v>0</v>
      </c>
      <c r="N244" s="1">
        <f>Table1[[#This Row],[Fixed_Charges]]+Table1[[#This Row],[No_of_Extra_slabs]]*Table1[[#This Row],[Additional_Charges]]</f>
        <v>45.4</v>
      </c>
      <c r="O244">
        <f>_xlfn.XLOOKUP(Table1[[#This Row],[OrderID]],'Courier company invoice'!B:B,'Courier company invoice'!H:H)</f>
        <v>45.4</v>
      </c>
      <c r="P244" s="1">
        <f>Table1[[#This Row],[Billing Amount]]-Table1[[#This Row],[Expected charges]]</f>
        <v>0</v>
      </c>
      <c r="Q244" s="1" t="str" cm="1">
        <f t="array" ref="Q24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245" spans="1:17" x14ac:dyDescent="0.3">
      <c r="A245" s="3" t="s">
        <v>76</v>
      </c>
      <c r="B245" s="2">
        <f>Table1[[#This Row],[Order ID]]*1</f>
        <v>2001807981</v>
      </c>
      <c r="C245" s="2">
        <v>8904223818942</v>
      </c>
      <c r="D245">
        <v>1</v>
      </c>
      <c r="E245">
        <f>_xlfn.XLOOKUP(Table1[[#This Row],[SKU (Product Code)]],'SKU Master'!A:A,'SKU Master'!B:B)</f>
        <v>133</v>
      </c>
      <c r="F245">
        <f>Table1[[#This Row],[Product weight]]*Table1[[#This Row],[Order Qty]]</f>
        <v>133</v>
      </c>
      <c r="G245">
        <f>Table1[[#This Row],[Weight per order (g)]]/1000</f>
        <v>0.13300000000000001</v>
      </c>
      <c r="H245" s="1">
        <f>CEILING(Table1[[#This Row],[Weight per order (Kg)]],0.5)</f>
        <v>0.5</v>
      </c>
      <c r="I245" t="str">
        <f>_xlfn.XLOOKUP(Table1[[#This Row],[OrderID]],'Courier company invoice'!B:B,'Courier company invoice'!F:F)</f>
        <v>d</v>
      </c>
      <c r="J245" s="1" t="str">
        <f>_xlfn.XLOOKUP(Table1[[#This Row],[OrderID]],Table2[Order ID],Table2[Type of Shipment],"Not Found")</f>
        <v>Forward charges</v>
      </c>
      <c r="K245">
        <f>INDEX(Sheet1[],1,MATCH("fwd_"&amp;Table1[[#This Row],[Zone]]&amp;"_fixed",Sheet1[#Headers],0))</f>
        <v>45.4</v>
      </c>
      <c r="L245">
        <f>INDEX(Sheet1[],1,MATCH("fwd_"&amp;Table1[[#This Row],[Zone]]&amp;"_additional",Sheet1[#Headers],0))</f>
        <v>44.8</v>
      </c>
      <c r="M245" s="1">
        <f>(Table1[[#This Row],[Weight slab]]-0.5)/0.5</f>
        <v>0</v>
      </c>
      <c r="N245" s="1">
        <f>Table1[[#This Row],[Fixed_Charges]]+Table1[[#This Row],[No_of_Extra_slabs]]*Table1[[#This Row],[Additional_Charges]]</f>
        <v>45.4</v>
      </c>
      <c r="O245">
        <f>_xlfn.XLOOKUP(Table1[[#This Row],[OrderID]],'Courier company invoice'!B:B,'Courier company invoice'!H:H)</f>
        <v>45.4</v>
      </c>
      <c r="P245" s="1">
        <f>Table1[[#This Row],[Billing Amount]]-Table1[[#This Row],[Expected charges]]</f>
        <v>0</v>
      </c>
      <c r="Q245" s="1" t="str" cm="1">
        <f t="array" ref="Q24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246" spans="1:17" x14ac:dyDescent="0.3">
      <c r="A246" s="3" t="s">
        <v>76</v>
      </c>
      <c r="B246" s="2">
        <f>Table1[[#This Row],[Order ID]]*1</f>
        <v>2001807981</v>
      </c>
      <c r="C246" s="2">
        <v>8904223818850</v>
      </c>
      <c r="D246">
        <v>1</v>
      </c>
      <c r="E246">
        <f>_xlfn.XLOOKUP(Table1[[#This Row],[SKU (Product Code)]],'SKU Master'!A:A,'SKU Master'!B:B)</f>
        <v>240</v>
      </c>
      <c r="F246">
        <f>Table1[[#This Row],[Product weight]]*Table1[[#This Row],[Order Qty]]</f>
        <v>240</v>
      </c>
      <c r="G246">
        <f>Table1[[#This Row],[Weight per order (g)]]/1000</f>
        <v>0.24</v>
      </c>
      <c r="H246" s="1">
        <f>CEILING(Table1[[#This Row],[Weight per order (Kg)]],0.5)</f>
        <v>0.5</v>
      </c>
      <c r="I246" t="str">
        <f>_xlfn.XLOOKUP(Table1[[#This Row],[OrderID]],'Courier company invoice'!B:B,'Courier company invoice'!F:F)</f>
        <v>d</v>
      </c>
      <c r="J246" s="1" t="str">
        <f>_xlfn.XLOOKUP(Table1[[#This Row],[OrderID]],Table2[Order ID],Table2[Type of Shipment],"Not Found")</f>
        <v>Forward charges</v>
      </c>
      <c r="K246">
        <f>INDEX(Sheet1[],1,MATCH("fwd_"&amp;Table1[[#This Row],[Zone]]&amp;"_fixed",Sheet1[#Headers],0))</f>
        <v>45.4</v>
      </c>
      <c r="L246">
        <f>INDEX(Sheet1[],1,MATCH("fwd_"&amp;Table1[[#This Row],[Zone]]&amp;"_additional",Sheet1[#Headers],0))</f>
        <v>44.8</v>
      </c>
      <c r="M246" s="1">
        <f>(Table1[[#This Row],[Weight slab]]-0.5)/0.5</f>
        <v>0</v>
      </c>
      <c r="N246" s="1">
        <f>Table1[[#This Row],[Fixed_Charges]]+Table1[[#This Row],[No_of_Extra_slabs]]*Table1[[#This Row],[Additional_Charges]]</f>
        <v>45.4</v>
      </c>
      <c r="O246">
        <f>_xlfn.XLOOKUP(Table1[[#This Row],[OrderID]],'Courier company invoice'!B:B,'Courier company invoice'!H:H)</f>
        <v>45.4</v>
      </c>
      <c r="P246" s="1">
        <f>Table1[[#This Row],[Billing Amount]]-Table1[[#This Row],[Expected charges]]</f>
        <v>0</v>
      </c>
      <c r="Q246" s="1" t="str" cm="1">
        <f t="array" ref="Q24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247" spans="1:17" x14ac:dyDescent="0.3">
      <c r="A247" s="3" t="s">
        <v>77</v>
      </c>
      <c r="B247" s="2">
        <f>Table1[[#This Row],[Order ID]]*1</f>
        <v>2001807976</v>
      </c>
      <c r="C247" s="2">
        <v>8904223819468</v>
      </c>
      <c r="D247">
        <v>1</v>
      </c>
      <c r="E247">
        <f>_xlfn.XLOOKUP(Table1[[#This Row],[SKU (Product Code)]],'SKU Master'!A:A,'SKU Master'!B:B)</f>
        <v>240</v>
      </c>
      <c r="F247">
        <f>Table1[[#This Row],[Product weight]]*Table1[[#This Row],[Order Qty]]</f>
        <v>240</v>
      </c>
      <c r="G247">
        <f>Table1[[#This Row],[Weight per order (g)]]/1000</f>
        <v>0.24</v>
      </c>
      <c r="H247" s="1">
        <f>CEILING(Table1[[#This Row],[Weight per order (Kg)]],0.5)</f>
        <v>0.5</v>
      </c>
      <c r="I247" t="str">
        <f>_xlfn.XLOOKUP(Table1[[#This Row],[OrderID]],'Courier company invoice'!B:B,'Courier company invoice'!F:F)</f>
        <v>d</v>
      </c>
      <c r="J247" s="1" t="str">
        <f>_xlfn.XLOOKUP(Table1[[#This Row],[OrderID]],Table2[Order ID],Table2[Type of Shipment],"Not Found")</f>
        <v>Forward and RTO charges</v>
      </c>
      <c r="K247">
        <f>INDEX(Sheet1[],1,MATCH("fwd_"&amp;Table1[[#This Row],[Zone]]&amp;"_fixed",Sheet1[#Headers],0))</f>
        <v>45.4</v>
      </c>
      <c r="L247">
        <f>INDEX(Sheet1[],1,MATCH("fwd_"&amp;Table1[[#This Row],[Zone]]&amp;"_additional",Sheet1[#Headers],0))</f>
        <v>44.8</v>
      </c>
      <c r="M247" s="1">
        <f>(Table1[[#This Row],[Weight slab]]-0.5)/0.5</f>
        <v>0</v>
      </c>
      <c r="N247" s="1">
        <f>Table1[[#This Row],[Fixed_Charges]]+Table1[[#This Row],[No_of_Extra_slabs]]*Table1[[#This Row],[Additional_Charges]]</f>
        <v>45.4</v>
      </c>
      <c r="O247">
        <f>_xlfn.XLOOKUP(Table1[[#This Row],[OrderID]],'Courier company invoice'!B:B,'Courier company invoice'!H:H)</f>
        <v>172.8</v>
      </c>
      <c r="P247" s="1">
        <f>Table1[[#This Row],[Billing Amount]]-Table1[[#This Row],[Expected charges]]</f>
        <v>127.4</v>
      </c>
      <c r="Q247" s="1" t="str" cm="1">
        <f t="array" ref="Q24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48" spans="1:17" x14ac:dyDescent="0.3">
      <c r="A248" s="3" t="s">
        <v>77</v>
      </c>
      <c r="B248" s="2">
        <f>Table1[[#This Row],[Order ID]]*1</f>
        <v>2001807976</v>
      </c>
      <c r="C248" s="2">
        <v>8904223818669</v>
      </c>
      <c r="D248">
        <v>1</v>
      </c>
      <c r="E248">
        <f>_xlfn.XLOOKUP(Table1[[#This Row],[SKU (Product Code)]],'SKU Master'!A:A,'SKU Master'!B:B)</f>
        <v>240</v>
      </c>
      <c r="F248">
        <f>Table1[[#This Row],[Product weight]]*Table1[[#This Row],[Order Qty]]</f>
        <v>240</v>
      </c>
      <c r="G248">
        <f>Table1[[#This Row],[Weight per order (g)]]/1000</f>
        <v>0.24</v>
      </c>
      <c r="H248" s="1">
        <f>CEILING(Table1[[#This Row],[Weight per order (Kg)]],0.5)</f>
        <v>0.5</v>
      </c>
      <c r="I248" t="str">
        <f>_xlfn.XLOOKUP(Table1[[#This Row],[OrderID]],'Courier company invoice'!B:B,'Courier company invoice'!F:F)</f>
        <v>d</v>
      </c>
      <c r="J248" s="1" t="str">
        <f>_xlfn.XLOOKUP(Table1[[#This Row],[OrderID]],Table2[Order ID],Table2[Type of Shipment],"Not Found")</f>
        <v>Forward and RTO charges</v>
      </c>
      <c r="K248">
        <f>INDEX(Sheet1[],1,MATCH("fwd_"&amp;Table1[[#This Row],[Zone]]&amp;"_fixed",Sheet1[#Headers],0))</f>
        <v>45.4</v>
      </c>
      <c r="L248">
        <f>INDEX(Sheet1[],1,MATCH("fwd_"&amp;Table1[[#This Row],[Zone]]&amp;"_additional",Sheet1[#Headers],0))</f>
        <v>44.8</v>
      </c>
      <c r="M248" s="1">
        <f>(Table1[[#This Row],[Weight slab]]-0.5)/0.5</f>
        <v>0</v>
      </c>
      <c r="N248" s="1">
        <f>Table1[[#This Row],[Fixed_Charges]]+Table1[[#This Row],[No_of_Extra_slabs]]*Table1[[#This Row],[Additional_Charges]]</f>
        <v>45.4</v>
      </c>
      <c r="O248">
        <f>_xlfn.XLOOKUP(Table1[[#This Row],[OrderID]],'Courier company invoice'!B:B,'Courier company invoice'!H:H)</f>
        <v>172.8</v>
      </c>
      <c r="P248" s="1">
        <f>Table1[[#This Row],[Billing Amount]]-Table1[[#This Row],[Expected charges]]</f>
        <v>127.4</v>
      </c>
      <c r="Q248" s="1" t="str" cm="1">
        <f t="array" ref="Q24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49" spans="1:17" x14ac:dyDescent="0.3">
      <c r="A249" s="3" t="s">
        <v>77</v>
      </c>
      <c r="B249" s="2">
        <f>Table1[[#This Row],[Order ID]]*1</f>
        <v>2001807976</v>
      </c>
      <c r="C249" s="2">
        <v>8904223818683</v>
      </c>
      <c r="D249">
        <v>1</v>
      </c>
      <c r="E249">
        <f>_xlfn.XLOOKUP(Table1[[#This Row],[SKU (Product Code)]],'SKU Master'!A:A,'SKU Master'!B:B)</f>
        <v>121</v>
      </c>
      <c r="F249">
        <f>Table1[[#This Row],[Product weight]]*Table1[[#This Row],[Order Qty]]</f>
        <v>121</v>
      </c>
      <c r="G249">
        <f>Table1[[#This Row],[Weight per order (g)]]/1000</f>
        <v>0.121</v>
      </c>
      <c r="H249" s="1">
        <f>CEILING(Table1[[#This Row],[Weight per order (Kg)]],0.5)</f>
        <v>0.5</v>
      </c>
      <c r="I249" t="str">
        <f>_xlfn.XLOOKUP(Table1[[#This Row],[OrderID]],'Courier company invoice'!B:B,'Courier company invoice'!F:F)</f>
        <v>d</v>
      </c>
      <c r="J249" s="1" t="str">
        <f>_xlfn.XLOOKUP(Table1[[#This Row],[OrderID]],Table2[Order ID],Table2[Type of Shipment],"Not Found")</f>
        <v>Forward and RTO charges</v>
      </c>
      <c r="K249">
        <f>INDEX(Sheet1[],1,MATCH("fwd_"&amp;Table1[[#This Row],[Zone]]&amp;"_fixed",Sheet1[#Headers],0))</f>
        <v>45.4</v>
      </c>
      <c r="L249">
        <f>INDEX(Sheet1[],1,MATCH("fwd_"&amp;Table1[[#This Row],[Zone]]&amp;"_additional",Sheet1[#Headers],0))</f>
        <v>44.8</v>
      </c>
      <c r="M249" s="1">
        <f>(Table1[[#This Row],[Weight slab]]-0.5)/0.5</f>
        <v>0</v>
      </c>
      <c r="N249" s="1">
        <f>Table1[[#This Row],[Fixed_Charges]]+Table1[[#This Row],[No_of_Extra_slabs]]*Table1[[#This Row],[Additional_Charges]]</f>
        <v>45.4</v>
      </c>
      <c r="O249">
        <f>_xlfn.XLOOKUP(Table1[[#This Row],[OrderID]],'Courier company invoice'!B:B,'Courier company invoice'!H:H)</f>
        <v>172.8</v>
      </c>
      <c r="P249" s="1">
        <f>Table1[[#This Row],[Billing Amount]]-Table1[[#This Row],[Expected charges]]</f>
        <v>127.4</v>
      </c>
      <c r="Q249" s="1" t="str" cm="1">
        <f t="array" ref="Q24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50" spans="1:17" x14ac:dyDescent="0.3">
      <c r="A250" s="3" t="s">
        <v>77</v>
      </c>
      <c r="B250" s="2">
        <f>Table1[[#This Row],[Order ID]]*1</f>
        <v>2001807976</v>
      </c>
      <c r="C250" s="2">
        <v>8904223818713</v>
      </c>
      <c r="D250">
        <v>1</v>
      </c>
      <c r="E250">
        <f>_xlfn.XLOOKUP(Table1[[#This Row],[SKU (Product Code)]],'SKU Master'!A:A,'SKU Master'!B:B)</f>
        <v>120</v>
      </c>
      <c r="F250">
        <f>Table1[[#This Row],[Product weight]]*Table1[[#This Row],[Order Qty]]</f>
        <v>120</v>
      </c>
      <c r="G250">
        <f>Table1[[#This Row],[Weight per order (g)]]/1000</f>
        <v>0.12</v>
      </c>
      <c r="H250" s="1">
        <f>CEILING(Table1[[#This Row],[Weight per order (Kg)]],0.5)</f>
        <v>0.5</v>
      </c>
      <c r="I250" t="str">
        <f>_xlfn.XLOOKUP(Table1[[#This Row],[OrderID]],'Courier company invoice'!B:B,'Courier company invoice'!F:F)</f>
        <v>d</v>
      </c>
      <c r="J250" s="1" t="str">
        <f>_xlfn.XLOOKUP(Table1[[#This Row],[OrderID]],Table2[Order ID],Table2[Type of Shipment],"Not Found")</f>
        <v>Forward and RTO charges</v>
      </c>
      <c r="K250">
        <f>INDEX(Sheet1[],1,MATCH("fwd_"&amp;Table1[[#This Row],[Zone]]&amp;"_fixed",Sheet1[#Headers],0))</f>
        <v>45.4</v>
      </c>
      <c r="L250">
        <f>INDEX(Sheet1[],1,MATCH("fwd_"&amp;Table1[[#This Row],[Zone]]&amp;"_additional",Sheet1[#Headers],0))</f>
        <v>44.8</v>
      </c>
      <c r="M250" s="1">
        <f>(Table1[[#This Row],[Weight slab]]-0.5)/0.5</f>
        <v>0</v>
      </c>
      <c r="N250" s="1">
        <f>Table1[[#This Row],[Fixed_Charges]]+Table1[[#This Row],[No_of_Extra_slabs]]*Table1[[#This Row],[Additional_Charges]]</f>
        <v>45.4</v>
      </c>
      <c r="O250">
        <f>_xlfn.XLOOKUP(Table1[[#This Row],[OrderID]],'Courier company invoice'!B:B,'Courier company invoice'!H:H)</f>
        <v>172.8</v>
      </c>
      <c r="P250" s="1">
        <f>Table1[[#This Row],[Billing Amount]]-Table1[[#This Row],[Expected charges]]</f>
        <v>127.4</v>
      </c>
      <c r="Q250" s="1" t="str" cm="1">
        <f t="array" ref="Q25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51" spans="1:17" x14ac:dyDescent="0.3">
      <c r="A251" s="3" t="s">
        <v>78</v>
      </c>
      <c r="B251" s="2">
        <f>Table1[[#This Row],[Order ID]]*1</f>
        <v>2001807970</v>
      </c>
      <c r="C251" s="2">
        <v>8904223819321</v>
      </c>
      <c r="D251">
        <v>1</v>
      </c>
      <c r="E251">
        <f>_xlfn.XLOOKUP(Table1[[#This Row],[SKU (Product Code)]],'SKU Master'!A:A,'SKU Master'!B:B)</f>
        <v>600</v>
      </c>
      <c r="F251">
        <f>Table1[[#This Row],[Product weight]]*Table1[[#This Row],[Order Qty]]</f>
        <v>600</v>
      </c>
      <c r="G251">
        <f>Table1[[#This Row],[Weight per order (g)]]/1000</f>
        <v>0.6</v>
      </c>
      <c r="H251" s="1">
        <f>CEILING(Table1[[#This Row],[Weight per order (Kg)]],0.5)</f>
        <v>1</v>
      </c>
      <c r="I251" t="str">
        <f>_xlfn.XLOOKUP(Table1[[#This Row],[OrderID]],'Courier company invoice'!B:B,'Courier company invoice'!F:F)</f>
        <v>d</v>
      </c>
      <c r="J251" s="1" t="str">
        <f>_xlfn.XLOOKUP(Table1[[#This Row],[OrderID]],Table2[Order ID],Table2[Type of Shipment],"Not Found")</f>
        <v>Forward charges</v>
      </c>
      <c r="K251">
        <f>INDEX(Sheet1[],1,MATCH("fwd_"&amp;Table1[[#This Row],[Zone]]&amp;"_fixed",Sheet1[#Headers],0))</f>
        <v>45.4</v>
      </c>
      <c r="L251">
        <f>INDEX(Sheet1[],1,MATCH("fwd_"&amp;Table1[[#This Row],[Zone]]&amp;"_additional",Sheet1[#Headers],0))</f>
        <v>44.8</v>
      </c>
      <c r="M251" s="1">
        <f>(Table1[[#This Row],[Weight slab]]-0.5)/0.5</f>
        <v>1</v>
      </c>
      <c r="N251" s="1">
        <f>Table1[[#This Row],[Fixed_Charges]]+Table1[[#This Row],[No_of_Extra_slabs]]*Table1[[#This Row],[Additional_Charges]]</f>
        <v>90.199999999999989</v>
      </c>
      <c r="O251">
        <f>_xlfn.XLOOKUP(Table1[[#This Row],[OrderID]],'Courier company invoice'!B:B,'Courier company invoice'!H:H)</f>
        <v>403.8</v>
      </c>
      <c r="P251" s="1">
        <f>Table1[[#This Row],[Billing Amount]]-Table1[[#This Row],[Expected charges]]</f>
        <v>313.60000000000002</v>
      </c>
      <c r="Q251" s="1" t="str" cm="1">
        <f t="array" ref="Q25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52" spans="1:17" x14ac:dyDescent="0.3">
      <c r="A252" s="3" t="s">
        <v>78</v>
      </c>
      <c r="B252" s="2">
        <f>Table1[[#This Row],[Order ID]]*1</f>
        <v>2001807970</v>
      </c>
      <c r="C252" s="2">
        <v>8904223818430</v>
      </c>
      <c r="D252">
        <v>1</v>
      </c>
      <c r="E252">
        <f>_xlfn.XLOOKUP(Table1[[#This Row],[SKU (Product Code)]],'SKU Master'!A:A,'SKU Master'!B:B)</f>
        <v>165</v>
      </c>
      <c r="F252">
        <f>Table1[[#This Row],[Product weight]]*Table1[[#This Row],[Order Qty]]</f>
        <v>165</v>
      </c>
      <c r="G252">
        <f>Table1[[#This Row],[Weight per order (g)]]/1000</f>
        <v>0.16500000000000001</v>
      </c>
      <c r="H252" s="1">
        <f>CEILING(Table1[[#This Row],[Weight per order (Kg)]],0.5)</f>
        <v>0.5</v>
      </c>
      <c r="I252" t="str">
        <f>_xlfn.XLOOKUP(Table1[[#This Row],[OrderID]],'Courier company invoice'!B:B,'Courier company invoice'!F:F)</f>
        <v>d</v>
      </c>
      <c r="J252" s="1" t="str">
        <f>_xlfn.XLOOKUP(Table1[[#This Row],[OrderID]],Table2[Order ID],Table2[Type of Shipment],"Not Found")</f>
        <v>Forward charges</v>
      </c>
      <c r="K252">
        <f>INDEX(Sheet1[],1,MATCH("fwd_"&amp;Table1[[#This Row],[Zone]]&amp;"_fixed",Sheet1[#Headers],0))</f>
        <v>45.4</v>
      </c>
      <c r="L252">
        <f>INDEX(Sheet1[],1,MATCH("fwd_"&amp;Table1[[#This Row],[Zone]]&amp;"_additional",Sheet1[#Headers],0))</f>
        <v>44.8</v>
      </c>
      <c r="M252" s="1">
        <f>(Table1[[#This Row],[Weight slab]]-0.5)/0.5</f>
        <v>0</v>
      </c>
      <c r="N252" s="1">
        <f>Table1[[#This Row],[Fixed_Charges]]+Table1[[#This Row],[No_of_Extra_slabs]]*Table1[[#This Row],[Additional_Charges]]</f>
        <v>45.4</v>
      </c>
      <c r="O252">
        <f>_xlfn.XLOOKUP(Table1[[#This Row],[OrderID]],'Courier company invoice'!B:B,'Courier company invoice'!H:H)</f>
        <v>403.8</v>
      </c>
      <c r="P252" s="1">
        <f>Table1[[#This Row],[Billing Amount]]-Table1[[#This Row],[Expected charges]]</f>
        <v>358.40000000000003</v>
      </c>
      <c r="Q252" s="1" t="str" cm="1">
        <f t="array" ref="Q25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53" spans="1:17" x14ac:dyDescent="0.3">
      <c r="A253" s="3" t="s">
        <v>79</v>
      </c>
      <c r="B253" s="2">
        <f>Table1[[#This Row],[Order ID]]*1</f>
        <v>2001807960</v>
      </c>
      <c r="C253" s="2">
        <v>8904223818669</v>
      </c>
      <c r="D253">
        <v>1</v>
      </c>
      <c r="E253">
        <f>_xlfn.XLOOKUP(Table1[[#This Row],[SKU (Product Code)]],'SKU Master'!A:A,'SKU Master'!B:B)</f>
        <v>240</v>
      </c>
      <c r="F253">
        <f>Table1[[#This Row],[Product weight]]*Table1[[#This Row],[Order Qty]]</f>
        <v>240</v>
      </c>
      <c r="G253">
        <f>Table1[[#This Row],[Weight per order (g)]]/1000</f>
        <v>0.24</v>
      </c>
      <c r="H253" s="1">
        <f>CEILING(Table1[[#This Row],[Weight per order (Kg)]],0.5)</f>
        <v>0.5</v>
      </c>
      <c r="I253" t="str">
        <f>_xlfn.XLOOKUP(Table1[[#This Row],[OrderID]],'Courier company invoice'!B:B,'Courier company invoice'!F:F)</f>
        <v>d</v>
      </c>
      <c r="J253" s="1" t="str">
        <f>_xlfn.XLOOKUP(Table1[[#This Row],[OrderID]],Table2[Order ID],Table2[Type of Shipment],"Not Found")</f>
        <v>Forward charges</v>
      </c>
      <c r="K253">
        <f>INDEX(Sheet1[],1,MATCH("fwd_"&amp;Table1[[#This Row],[Zone]]&amp;"_fixed",Sheet1[#Headers],0))</f>
        <v>45.4</v>
      </c>
      <c r="L253">
        <f>INDEX(Sheet1[],1,MATCH("fwd_"&amp;Table1[[#This Row],[Zone]]&amp;"_additional",Sheet1[#Headers],0))</f>
        <v>44.8</v>
      </c>
      <c r="M253" s="1">
        <f>(Table1[[#This Row],[Weight slab]]-0.5)/0.5</f>
        <v>0</v>
      </c>
      <c r="N253" s="1">
        <f>Table1[[#This Row],[Fixed_Charges]]+Table1[[#This Row],[No_of_Extra_slabs]]*Table1[[#This Row],[Additional_Charges]]</f>
        <v>45.4</v>
      </c>
      <c r="O253">
        <f>_xlfn.XLOOKUP(Table1[[#This Row],[OrderID]],'Courier company invoice'!B:B,'Courier company invoice'!H:H)</f>
        <v>90.2</v>
      </c>
      <c r="P253" s="1">
        <f>Table1[[#This Row],[Billing Amount]]-Table1[[#This Row],[Expected charges]]</f>
        <v>44.800000000000004</v>
      </c>
      <c r="Q253" s="1" t="str" cm="1">
        <f t="array" ref="Q25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54" spans="1:17" x14ac:dyDescent="0.3">
      <c r="A254" s="3" t="s">
        <v>79</v>
      </c>
      <c r="B254" s="2">
        <f>Table1[[#This Row],[Order ID]]*1</f>
        <v>2001807960</v>
      </c>
      <c r="C254" s="2">
        <v>8904223819147</v>
      </c>
      <c r="D254">
        <v>1</v>
      </c>
      <c r="E254">
        <f>_xlfn.XLOOKUP(Table1[[#This Row],[SKU (Product Code)]],'SKU Master'!A:A,'SKU Master'!B:B)</f>
        <v>240</v>
      </c>
      <c r="F254">
        <f>Table1[[#This Row],[Product weight]]*Table1[[#This Row],[Order Qty]]</f>
        <v>240</v>
      </c>
      <c r="G254">
        <f>Table1[[#This Row],[Weight per order (g)]]/1000</f>
        <v>0.24</v>
      </c>
      <c r="H254" s="1">
        <f>CEILING(Table1[[#This Row],[Weight per order (Kg)]],0.5)</f>
        <v>0.5</v>
      </c>
      <c r="I254" t="str">
        <f>_xlfn.XLOOKUP(Table1[[#This Row],[OrderID]],'Courier company invoice'!B:B,'Courier company invoice'!F:F)</f>
        <v>d</v>
      </c>
      <c r="J254" s="1" t="str">
        <f>_xlfn.XLOOKUP(Table1[[#This Row],[OrderID]],Table2[Order ID],Table2[Type of Shipment],"Not Found")</f>
        <v>Forward charges</v>
      </c>
      <c r="K254">
        <f>INDEX(Sheet1[],1,MATCH("fwd_"&amp;Table1[[#This Row],[Zone]]&amp;"_fixed",Sheet1[#Headers],0))</f>
        <v>45.4</v>
      </c>
      <c r="L254">
        <f>INDEX(Sheet1[],1,MATCH("fwd_"&amp;Table1[[#This Row],[Zone]]&amp;"_additional",Sheet1[#Headers],0))</f>
        <v>44.8</v>
      </c>
      <c r="M254" s="1">
        <f>(Table1[[#This Row],[Weight slab]]-0.5)/0.5</f>
        <v>0</v>
      </c>
      <c r="N254" s="1">
        <f>Table1[[#This Row],[Fixed_Charges]]+Table1[[#This Row],[No_of_Extra_slabs]]*Table1[[#This Row],[Additional_Charges]]</f>
        <v>45.4</v>
      </c>
      <c r="O254">
        <f>_xlfn.XLOOKUP(Table1[[#This Row],[OrderID]],'Courier company invoice'!B:B,'Courier company invoice'!H:H)</f>
        <v>90.2</v>
      </c>
      <c r="P254" s="1">
        <f>Table1[[#This Row],[Billing Amount]]-Table1[[#This Row],[Expected charges]]</f>
        <v>44.800000000000004</v>
      </c>
      <c r="Q254" s="1" t="str" cm="1">
        <f t="array" ref="Q25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55" spans="1:17" x14ac:dyDescent="0.3">
      <c r="A255" s="3" t="s">
        <v>79</v>
      </c>
      <c r="B255" s="2">
        <f>Table1[[#This Row],[Order ID]]*1</f>
        <v>2001807960</v>
      </c>
      <c r="C255" s="2">
        <v>8904223818850</v>
      </c>
      <c r="D255">
        <v>1</v>
      </c>
      <c r="E255">
        <f>_xlfn.XLOOKUP(Table1[[#This Row],[SKU (Product Code)]],'SKU Master'!A:A,'SKU Master'!B:B)</f>
        <v>240</v>
      </c>
      <c r="F255">
        <f>Table1[[#This Row],[Product weight]]*Table1[[#This Row],[Order Qty]]</f>
        <v>240</v>
      </c>
      <c r="G255">
        <f>Table1[[#This Row],[Weight per order (g)]]/1000</f>
        <v>0.24</v>
      </c>
      <c r="H255" s="1">
        <f>CEILING(Table1[[#This Row],[Weight per order (Kg)]],0.5)</f>
        <v>0.5</v>
      </c>
      <c r="I255" t="str">
        <f>_xlfn.XLOOKUP(Table1[[#This Row],[OrderID]],'Courier company invoice'!B:B,'Courier company invoice'!F:F)</f>
        <v>d</v>
      </c>
      <c r="J255" s="1" t="str">
        <f>_xlfn.XLOOKUP(Table1[[#This Row],[OrderID]],Table2[Order ID],Table2[Type of Shipment],"Not Found")</f>
        <v>Forward charges</v>
      </c>
      <c r="K255">
        <f>INDEX(Sheet1[],1,MATCH("fwd_"&amp;Table1[[#This Row],[Zone]]&amp;"_fixed",Sheet1[#Headers],0))</f>
        <v>45.4</v>
      </c>
      <c r="L255">
        <f>INDEX(Sheet1[],1,MATCH("fwd_"&amp;Table1[[#This Row],[Zone]]&amp;"_additional",Sheet1[#Headers],0))</f>
        <v>44.8</v>
      </c>
      <c r="M255" s="1">
        <f>(Table1[[#This Row],[Weight slab]]-0.5)/0.5</f>
        <v>0</v>
      </c>
      <c r="N255" s="1">
        <f>Table1[[#This Row],[Fixed_Charges]]+Table1[[#This Row],[No_of_Extra_slabs]]*Table1[[#This Row],[Additional_Charges]]</f>
        <v>45.4</v>
      </c>
      <c r="O255">
        <f>_xlfn.XLOOKUP(Table1[[#This Row],[OrderID]],'Courier company invoice'!B:B,'Courier company invoice'!H:H)</f>
        <v>90.2</v>
      </c>
      <c r="P255" s="1">
        <f>Table1[[#This Row],[Billing Amount]]-Table1[[#This Row],[Expected charges]]</f>
        <v>44.800000000000004</v>
      </c>
      <c r="Q255" s="1" t="str" cm="1">
        <f t="array" ref="Q25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56" spans="1:17" x14ac:dyDescent="0.3">
      <c r="A256" s="3" t="s">
        <v>79</v>
      </c>
      <c r="B256" s="2">
        <f>Table1[[#This Row],[Order ID]]*1</f>
        <v>2001807960</v>
      </c>
      <c r="C256" s="2">
        <v>8904223819505</v>
      </c>
      <c r="D256">
        <v>1</v>
      </c>
      <c r="E256">
        <f>_xlfn.XLOOKUP(Table1[[#This Row],[SKU (Product Code)]],'SKU Master'!A:A,'SKU Master'!B:B)</f>
        <v>210</v>
      </c>
      <c r="F256">
        <f>Table1[[#This Row],[Product weight]]*Table1[[#This Row],[Order Qty]]</f>
        <v>210</v>
      </c>
      <c r="G256">
        <f>Table1[[#This Row],[Weight per order (g)]]/1000</f>
        <v>0.21</v>
      </c>
      <c r="H256" s="1">
        <f>CEILING(Table1[[#This Row],[Weight per order (Kg)]],0.5)</f>
        <v>0.5</v>
      </c>
      <c r="I256" t="str">
        <f>_xlfn.XLOOKUP(Table1[[#This Row],[OrderID]],'Courier company invoice'!B:B,'Courier company invoice'!F:F)</f>
        <v>d</v>
      </c>
      <c r="J256" s="1" t="str">
        <f>_xlfn.XLOOKUP(Table1[[#This Row],[OrderID]],Table2[Order ID],Table2[Type of Shipment],"Not Found")</f>
        <v>Forward charges</v>
      </c>
      <c r="K256">
        <f>INDEX(Sheet1[],1,MATCH("fwd_"&amp;Table1[[#This Row],[Zone]]&amp;"_fixed",Sheet1[#Headers],0))</f>
        <v>45.4</v>
      </c>
      <c r="L256">
        <f>INDEX(Sheet1[],1,MATCH("fwd_"&amp;Table1[[#This Row],[Zone]]&amp;"_additional",Sheet1[#Headers],0))</f>
        <v>44.8</v>
      </c>
      <c r="M256" s="1">
        <f>(Table1[[#This Row],[Weight slab]]-0.5)/0.5</f>
        <v>0</v>
      </c>
      <c r="N256" s="1">
        <f>Table1[[#This Row],[Fixed_Charges]]+Table1[[#This Row],[No_of_Extra_slabs]]*Table1[[#This Row],[Additional_Charges]]</f>
        <v>45.4</v>
      </c>
      <c r="O256">
        <f>_xlfn.XLOOKUP(Table1[[#This Row],[OrderID]],'Courier company invoice'!B:B,'Courier company invoice'!H:H)</f>
        <v>90.2</v>
      </c>
      <c r="P256" s="1">
        <f>Table1[[#This Row],[Billing Amount]]-Table1[[#This Row],[Expected charges]]</f>
        <v>44.800000000000004</v>
      </c>
      <c r="Q256" s="1" t="str" cm="1">
        <f t="array" ref="Q25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57" spans="1:17" x14ac:dyDescent="0.3">
      <c r="A257" s="3" t="s">
        <v>80</v>
      </c>
      <c r="B257" s="2">
        <f>Table1[[#This Row],[Order ID]]*1</f>
        <v>2001807956</v>
      </c>
      <c r="C257" s="2">
        <v>8904223818706</v>
      </c>
      <c r="D257">
        <v>1</v>
      </c>
      <c r="E257">
        <f>_xlfn.XLOOKUP(Table1[[#This Row],[SKU (Product Code)]],'SKU Master'!A:A,'SKU Master'!B:B)</f>
        <v>127</v>
      </c>
      <c r="F257">
        <f>Table1[[#This Row],[Product weight]]*Table1[[#This Row],[Order Qty]]</f>
        <v>127</v>
      </c>
      <c r="G257">
        <f>Table1[[#This Row],[Weight per order (g)]]/1000</f>
        <v>0.127</v>
      </c>
      <c r="H257" s="1">
        <f>CEILING(Table1[[#This Row],[Weight per order (Kg)]],0.5)</f>
        <v>0.5</v>
      </c>
      <c r="I257" t="str">
        <f>_xlfn.XLOOKUP(Table1[[#This Row],[OrderID]],'Courier company invoice'!B:B,'Courier company invoice'!F:F)</f>
        <v>b</v>
      </c>
      <c r="J257" s="1" t="str">
        <f>_xlfn.XLOOKUP(Table1[[#This Row],[OrderID]],Table2[Order ID],Table2[Type of Shipment],"Not Found")</f>
        <v>Forward charges</v>
      </c>
      <c r="K257">
        <f>INDEX(Sheet1[],1,MATCH("fwd_"&amp;Table1[[#This Row],[Zone]]&amp;"_fixed",Sheet1[#Headers],0))</f>
        <v>33</v>
      </c>
      <c r="L257">
        <f>INDEX(Sheet1[],1,MATCH("fwd_"&amp;Table1[[#This Row],[Zone]]&amp;"_additional",Sheet1[#Headers],0))</f>
        <v>28.3</v>
      </c>
      <c r="M257" s="1">
        <f>(Table1[[#This Row],[Weight slab]]-0.5)/0.5</f>
        <v>0</v>
      </c>
      <c r="N257" s="1">
        <f>Table1[[#This Row],[Fixed_Charges]]+Table1[[#This Row],[No_of_Extra_slabs]]*Table1[[#This Row],[Additional_Charges]]</f>
        <v>33</v>
      </c>
      <c r="O257">
        <f>_xlfn.XLOOKUP(Table1[[#This Row],[OrderID]],'Courier company invoice'!B:B,'Courier company invoice'!H:H)</f>
        <v>89.6</v>
      </c>
      <c r="P257" s="1">
        <f>Table1[[#This Row],[Billing Amount]]-Table1[[#This Row],[Expected charges]]</f>
        <v>56.599999999999994</v>
      </c>
      <c r="Q257" s="1" t="str" cm="1">
        <f t="array" ref="Q25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58" spans="1:17" x14ac:dyDescent="0.3">
      <c r="A258" s="3" t="s">
        <v>80</v>
      </c>
      <c r="B258" s="2">
        <f>Table1[[#This Row],[Order ID]]*1</f>
        <v>2001807956</v>
      </c>
      <c r="C258" s="2">
        <v>8904223818942</v>
      </c>
      <c r="D258">
        <v>1</v>
      </c>
      <c r="E258">
        <f>_xlfn.XLOOKUP(Table1[[#This Row],[SKU (Product Code)]],'SKU Master'!A:A,'SKU Master'!B:B)</f>
        <v>133</v>
      </c>
      <c r="F258">
        <f>Table1[[#This Row],[Product weight]]*Table1[[#This Row],[Order Qty]]</f>
        <v>133</v>
      </c>
      <c r="G258">
        <f>Table1[[#This Row],[Weight per order (g)]]/1000</f>
        <v>0.13300000000000001</v>
      </c>
      <c r="H258" s="1">
        <f>CEILING(Table1[[#This Row],[Weight per order (Kg)]],0.5)</f>
        <v>0.5</v>
      </c>
      <c r="I258" t="str">
        <f>_xlfn.XLOOKUP(Table1[[#This Row],[OrderID]],'Courier company invoice'!B:B,'Courier company invoice'!F:F)</f>
        <v>b</v>
      </c>
      <c r="J258" s="1" t="str">
        <f>_xlfn.XLOOKUP(Table1[[#This Row],[OrderID]],Table2[Order ID],Table2[Type of Shipment],"Not Found")</f>
        <v>Forward charges</v>
      </c>
      <c r="K258">
        <f>INDEX(Sheet1[],1,MATCH("fwd_"&amp;Table1[[#This Row],[Zone]]&amp;"_fixed",Sheet1[#Headers],0))</f>
        <v>33</v>
      </c>
      <c r="L258">
        <f>INDEX(Sheet1[],1,MATCH("fwd_"&amp;Table1[[#This Row],[Zone]]&amp;"_additional",Sheet1[#Headers],0))</f>
        <v>28.3</v>
      </c>
      <c r="M258" s="1">
        <f>(Table1[[#This Row],[Weight slab]]-0.5)/0.5</f>
        <v>0</v>
      </c>
      <c r="N258" s="1">
        <f>Table1[[#This Row],[Fixed_Charges]]+Table1[[#This Row],[No_of_Extra_slabs]]*Table1[[#This Row],[Additional_Charges]]</f>
        <v>33</v>
      </c>
      <c r="O258">
        <f>_xlfn.XLOOKUP(Table1[[#This Row],[OrderID]],'Courier company invoice'!B:B,'Courier company invoice'!H:H)</f>
        <v>89.6</v>
      </c>
      <c r="P258" s="1">
        <f>Table1[[#This Row],[Billing Amount]]-Table1[[#This Row],[Expected charges]]</f>
        <v>56.599999999999994</v>
      </c>
      <c r="Q258" s="1" t="str" cm="1">
        <f t="array" ref="Q25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59" spans="1:17" x14ac:dyDescent="0.3">
      <c r="A259" s="3" t="s">
        <v>80</v>
      </c>
      <c r="B259" s="2">
        <f>Table1[[#This Row],[Order ID]]*1</f>
        <v>2001807956</v>
      </c>
      <c r="C259" s="2">
        <v>8904223818850</v>
      </c>
      <c r="D259">
        <v>1</v>
      </c>
      <c r="E259">
        <f>_xlfn.XLOOKUP(Table1[[#This Row],[SKU (Product Code)]],'SKU Master'!A:A,'SKU Master'!B:B)</f>
        <v>240</v>
      </c>
      <c r="F259">
        <f>Table1[[#This Row],[Product weight]]*Table1[[#This Row],[Order Qty]]</f>
        <v>240</v>
      </c>
      <c r="G259">
        <f>Table1[[#This Row],[Weight per order (g)]]/1000</f>
        <v>0.24</v>
      </c>
      <c r="H259" s="1">
        <f>CEILING(Table1[[#This Row],[Weight per order (Kg)]],0.5)</f>
        <v>0.5</v>
      </c>
      <c r="I259" t="str">
        <f>_xlfn.XLOOKUP(Table1[[#This Row],[OrderID]],'Courier company invoice'!B:B,'Courier company invoice'!F:F)</f>
        <v>b</v>
      </c>
      <c r="J259" s="1" t="str">
        <f>_xlfn.XLOOKUP(Table1[[#This Row],[OrderID]],Table2[Order ID],Table2[Type of Shipment],"Not Found")</f>
        <v>Forward charges</v>
      </c>
      <c r="K259">
        <f>INDEX(Sheet1[],1,MATCH("fwd_"&amp;Table1[[#This Row],[Zone]]&amp;"_fixed",Sheet1[#Headers],0))</f>
        <v>33</v>
      </c>
      <c r="L259">
        <f>INDEX(Sheet1[],1,MATCH("fwd_"&amp;Table1[[#This Row],[Zone]]&amp;"_additional",Sheet1[#Headers],0))</f>
        <v>28.3</v>
      </c>
      <c r="M259" s="1">
        <f>(Table1[[#This Row],[Weight slab]]-0.5)/0.5</f>
        <v>0</v>
      </c>
      <c r="N259" s="1">
        <f>Table1[[#This Row],[Fixed_Charges]]+Table1[[#This Row],[No_of_Extra_slabs]]*Table1[[#This Row],[Additional_Charges]]</f>
        <v>33</v>
      </c>
      <c r="O259">
        <f>_xlfn.XLOOKUP(Table1[[#This Row],[OrderID]],'Courier company invoice'!B:B,'Courier company invoice'!H:H)</f>
        <v>89.6</v>
      </c>
      <c r="P259" s="1">
        <f>Table1[[#This Row],[Billing Amount]]-Table1[[#This Row],[Expected charges]]</f>
        <v>56.599999999999994</v>
      </c>
      <c r="Q259" s="1" t="str" cm="1">
        <f t="array" ref="Q25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60" spans="1:17" x14ac:dyDescent="0.3">
      <c r="A260" s="3" t="s">
        <v>80</v>
      </c>
      <c r="B260" s="2">
        <f>Table1[[#This Row],[Order ID]]*1</f>
        <v>2001807956</v>
      </c>
      <c r="C260" s="2">
        <v>8904223819246</v>
      </c>
      <c r="D260">
        <v>2</v>
      </c>
      <c r="E260">
        <f>_xlfn.XLOOKUP(Table1[[#This Row],[SKU (Product Code)]],'SKU Master'!A:A,'SKU Master'!B:B)</f>
        <v>290</v>
      </c>
      <c r="F260">
        <f>Table1[[#This Row],[Product weight]]*Table1[[#This Row],[Order Qty]]</f>
        <v>580</v>
      </c>
      <c r="G260">
        <f>Table1[[#This Row],[Weight per order (g)]]/1000</f>
        <v>0.57999999999999996</v>
      </c>
      <c r="H260" s="1">
        <f>CEILING(Table1[[#This Row],[Weight per order (Kg)]],0.5)</f>
        <v>1</v>
      </c>
      <c r="I260" t="str">
        <f>_xlfn.XLOOKUP(Table1[[#This Row],[OrderID]],'Courier company invoice'!B:B,'Courier company invoice'!F:F)</f>
        <v>b</v>
      </c>
      <c r="J260" s="1" t="str">
        <f>_xlfn.XLOOKUP(Table1[[#This Row],[OrderID]],Table2[Order ID],Table2[Type of Shipment],"Not Found")</f>
        <v>Forward charges</v>
      </c>
      <c r="K260">
        <f>INDEX(Sheet1[],1,MATCH("fwd_"&amp;Table1[[#This Row],[Zone]]&amp;"_fixed",Sheet1[#Headers],0))</f>
        <v>33</v>
      </c>
      <c r="L260">
        <f>INDEX(Sheet1[],1,MATCH("fwd_"&amp;Table1[[#This Row],[Zone]]&amp;"_additional",Sheet1[#Headers],0))</f>
        <v>28.3</v>
      </c>
      <c r="M260" s="1">
        <f>(Table1[[#This Row],[Weight slab]]-0.5)/0.5</f>
        <v>1</v>
      </c>
      <c r="N260" s="1">
        <f>Table1[[#This Row],[Fixed_Charges]]+Table1[[#This Row],[No_of_Extra_slabs]]*Table1[[#This Row],[Additional_Charges]]</f>
        <v>61.3</v>
      </c>
      <c r="O260">
        <f>_xlfn.XLOOKUP(Table1[[#This Row],[OrderID]],'Courier company invoice'!B:B,'Courier company invoice'!H:H)</f>
        <v>89.6</v>
      </c>
      <c r="P260" s="1">
        <f>Table1[[#This Row],[Billing Amount]]-Table1[[#This Row],[Expected charges]]</f>
        <v>28.299999999999997</v>
      </c>
      <c r="Q260" s="1" t="str" cm="1">
        <f t="array" ref="Q26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61" spans="1:17" x14ac:dyDescent="0.3">
      <c r="A261" s="3" t="s">
        <v>81</v>
      </c>
      <c r="B261" s="2">
        <f>Table1[[#This Row],[Order ID]]*1</f>
        <v>2001807931</v>
      </c>
      <c r="C261" s="2">
        <v>8904223818706</v>
      </c>
      <c r="D261">
        <v>1</v>
      </c>
      <c r="E261">
        <f>_xlfn.XLOOKUP(Table1[[#This Row],[SKU (Product Code)]],'SKU Master'!A:A,'SKU Master'!B:B)</f>
        <v>127</v>
      </c>
      <c r="F261">
        <f>Table1[[#This Row],[Product weight]]*Table1[[#This Row],[Order Qty]]</f>
        <v>127</v>
      </c>
      <c r="G261">
        <f>Table1[[#This Row],[Weight per order (g)]]/1000</f>
        <v>0.127</v>
      </c>
      <c r="H261" s="1">
        <f>CEILING(Table1[[#This Row],[Weight per order (Kg)]],0.5)</f>
        <v>0.5</v>
      </c>
      <c r="I261" t="str">
        <f>_xlfn.XLOOKUP(Table1[[#This Row],[OrderID]],'Courier company invoice'!B:B,'Courier company invoice'!F:F)</f>
        <v>d</v>
      </c>
      <c r="J261" s="1" t="str">
        <f>_xlfn.XLOOKUP(Table1[[#This Row],[OrderID]],Table2[Order ID],Table2[Type of Shipment],"Not Found")</f>
        <v>Forward charges</v>
      </c>
      <c r="K261">
        <f>INDEX(Sheet1[],1,MATCH("fwd_"&amp;Table1[[#This Row],[Zone]]&amp;"_fixed",Sheet1[#Headers],0))</f>
        <v>45.4</v>
      </c>
      <c r="L261">
        <f>INDEX(Sheet1[],1,MATCH("fwd_"&amp;Table1[[#This Row],[Zone]]&amp;"_additional",Sheet1[#Headers],0))</f>
        <v>44.8</v>
      </c>
      <c r="M261" s="1">
        <f>(Table1[[#This Row],[Weight slab]]-0.5)/0.5</f>
        <v>0</v>
      </c>
      <c r="N261" s="1">
        <f>Table1[[#This Row],[Fixed_Charges]]+Table1[[#This Row],[No_of_Extra_slabs]]*Table1[[#This Row],[Additional_Charges]]</f>
        <v>45.4</v>
      </c>
      <c r="O261">
        <f>_xlfn.XLOOKUP(Table1[[#This Row],[OrderID]],'Courier company invoice'!B:B,'Courier company invoice'!H:H)</f>
        <v>90.2</v>
      </c>
      <c r="P261" s="1">
        <f>Table1[[#This Row],[Billing Amount]]-Table1[[#This Row],[Expected charges]]</f>
        <v>44.800000000000004</v>
      </c>
      <c r="Q261" s="1" t="str" cm="1">
        <f t="array" ref="Q26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62" spans="1:17" x14ac:dyDescent="0.3">
      <c r="A262" s="3" t="s">
        <v>81</v>
      </c>
      <c r="B262" s="2">
        <f>Table1[[#This Row],[Order ID]]*1</f>
        <v>2001807931</v>
      </c>
      <c r="C262" s="2">
        <v>8904223818850</v>
      </c>
      <c r="D262">
        <v>1</v>
      </c>
      <c r="E262">
        <f>_xlfn.XLOOKUP(Table1[[#This Row],[SKU (Product Code)]],'SKU Master'!A:A,'SKU Master'!B:B)</f>
        <v>240</v>
      </c>
      <c r="F262">
        <f>Table1[[#This Row],[Product weight]]*Table1[[#This Row],[Order Qty]]</f>
        <v>240</v>
      </c>
      <c r="G262">
        <f>Table1[[#This Row],[Weight per order (g)]]/1000</f>
        <v>0.24</v>
      </c>
      <c r="H262" s="1">
        <f>CEILING(Table1[[#This Row],[Weight per order (Kg)]],0.5)</f>
        <v>0.5</v>
      </c>
      <c r="I262" t="str">
        <f>_xlfn.XLOOKUP(Table1[[#This Row],[OrderID]],'Courier company invoice'!B:B,'Courier company invoice'!F:F)</f>
        <v>d</v>
      </c>
      <c r="J262" s="1" t="str">
        <f>_xlfn.XLOOKUP(Table1[[#This Row],[OrderID]],Table2[Order ID],Table2[Type of Shipment],"Not Found")</f>
        <v>Forward charges</v>
      </c>
      <c r="K262">
        <f>INDEX(Sheet1[],1,MATCH("fwd_"&amp;Table1[[#This Row],[Zone]]&amp;"_fixed",Sheet1[#Headers],0))</f>
        <v>45.4</v>
      </c>
      <c r="L262">
        <f>INDEX(Sheet1[],1,MATCH("fwd_"&amp;Table1[[#This Row],[Zone]]&amp;"_additional",Sheet1[#Headers],0))</f>
        <v>44.8</v>
      </c>
      <c r="M262" s="1">
        <f>(Table1[[#This Row],[Weight slab]]-0.5)/0.5</f>
        <v>0</v>
      </c>
      <c r="N262" s="1">
        <f>Table1[[#This Row],[Fixed_Charges]]+Table1[[#This Row],[No_of_Extra_slabs]]*Table1[[#This Row],[Additional_Charges]]</f>
        <v>45.4</v>
      </c>
      <c r="O262">
        <f>_xlfn.XLOOKUP(Table1[[#This Row],[OrderID]],'Courier company invoice'!B:B,'Courier company invoice'!H:H)</f>
        <v>90.2</v>
      </c>
      <c r="P262" s="1">
        <f>Table1[[#This Row],[Billing Amount]]-Table1[[#This Row],[Expected charges]]</f>
        <v>44.800000000000004</v>
      </c>
      <c r="Q262" s="1" t="str" cm="1">
        <f t="array" ref="Q26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63" spans="1:17" x14ac:dyDescent="0.3">
      <c r="A263" s="3" t="s">
        <v>81</v>
      </c>
      <c r="B263" s="2">
        <f>Table1[[#This Row],[Order ID]]*1</f>
        <v>2001807931</v>
      </c>
      <c r="C263" s="2">
        <v>8904223819468</v>
      </c>
      <c r="D263">
        <v>1</v>
      </c>
      <c r="E263">
        <f>_xlfn.XLOOKUP(Table1[[#This Row],[SKU (Product Code)]],'SKU Master'!A:A,'SKU Master'!B:B)</f>
        <v>240</v>
      </c>
      <c r="F263">
        <f>Table1[[#This Row],[Product weight]]*Table1[[#This Row],[Order Qty]]</f>
        <v>240</v>
      </c>
      <c r="G263">
        <f>Table1[[#This Row],[Weight per order (g)]]/1000</f>
        <v>0.24</v>
      </c>
      <c r="H263" s="1">
        <f>CEILING(Table1[[#This Row],[Weight per order (Kg)]],0.5)</f>
        <v>0.5</v>
      </c>
      <c r="I263" t="str">
        <f>_xlfn.XLOOKUP(Table1[[#This Row],[OrderID]],'Courier company invoice'!B:B,'Courier company invoice'!F:F)</f>
        <v>d</v>
      </c>
      <c r="J263" s="1" t="str">
        <f>_xlfn.XLOOKUP(Table1[[#This Row],[OrderID]],Table2[Order ID],Table2[Type of Shipment],"Not Found")</f>
        <v>Forward charges</v>
      </c>
      <c r="K263">
        <f>INDEX(Sheet1[],1,MATCH("fwd_"&amp;Table1[[#This Row],[Zone]]&amp;"_fixed",Sheet1[#Headers],0))</f>
        <v>45.4</v>
      </c>
      <c r="L263">
        <f>INDEX(Sheet1[],1,MATCH("fwd_"&amp;Table1[[#This Row],[Zone]]&amp;"_additional",Sheet1[#Headers],0))</f>
        <v>44.8</v>
      </c>
      <c r="M263" s="1">
        <f>(Table1[[#This Row],[Weight slab]]-0.5)/0.5</f>
        <v>0</v>
      </c>
      <c r="N263" s="1">
        <f>Table1[[#This Row],[Fixed_Charges]]+Table1[[#This Row],[No_of_Extra_slabs]]*Table1[[#This Row],[Additional_Charges]]</f>
        <v>45.4</v>
      </c>
      <c r="O263">
        <f>_xlfn.XLOOKUP(Table1[[#This Row],[OrderID]],'Courier company invoice'!B:B,'Courier company invoice'!H:H)</f>
        <v>90.2</v>
      </c>
      <c r="P263" s="1">
        <f>Table1[[#This Row],[Billing Amount]]-Table1[[#This Row],[Expected charges]]</f>
        <v>44.800000000000004</v>
      </c>
      <c r="Q263" s="1" t="str" cm="1">
        <f t="array" ref="Q26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64" spans="1:17" x14ac:dyDescent="0.3">
      <c r="A264" s="3" t="s">
        <v>82</v>
      </c>
      <c r="B264" s="2">
        <f>Table1[[#This Row],[Order ID]]*1</f>
        <v>2001807930</v>
      </c>
      <c r="C264" s="2">
        <v>8904223819468</v>
      </c>
      <c r="D264">
        <v>1</v>
      </c>
      <c r="E264">
        <f>_xlfn.XLOOKUP(Table1[[#This Row],[SKU (Product Code)]],'SKU Master'!A:A,'SKU Master'!B:B)</f>
        <v>240</v>
      </c>
      <c r="F264">
        <f>Table1[[#This Row],[Product weight]]*Table1[[#This Row],[Order Qty]]</f>
        <v>240</v>
      </c>
      <c r="G264">
        <f>Table1[[#This Row],[Weight per order (g)]]/1000</f>
        <v>0.24</v>
      </c>
      <c r="H264" s="1">
        <f>CEILING(Table1[[#This Row],[Weight per order (Kg)]],0.5)</f>
        <v>0.5</v>
      </c>
      <c r="I264" t="str">
        <f>_xlfn.XLOOKUP(Table1[[#This Row],[OrderID]],'Courier company invoice'!B:B,'Courier company invoice'!F:F)</f>
        <v>d</v>
      </c>
      <c r="J264" s="1" t="str">
        <f>_xlfn.XLOOKUP(Table1[[#This Row],[OrderID]],Table2[Order ID],Table2[Type of Shipment],"Not Found")</f>
        <v>Forward charges</v>
      </c>
      <c r="K264">
        <f>INDEX(Sheet1[],1,MATCH("fwd_"&amp;Table1[[#This Row],[Zone]]&amp;"_fixed",Sheet1[#Headers],0))</f>
        <v>45.4</v>
      </c>
      <c r="L264">
        <f>INDEX(Sheet1[],1,MATCH("fwd_"&amp;Table1[[#This Row],[Zone]]&amp;"_additional",Sheet1[#Headers],0))</f>
        <v>44.8</v>
      </c>
      <c r="M264" s="1">
        <f>(Table1[[#This Row],[Weight slab]]-0.5)/0.5</f>
        <v>0</v>
      </c>
      <c r="N264" s="1">
        <f>Table1[[#This Row],[Fixed_Charges]]+Table1[[#This Row],[No_of_Extra_slabs]]*Table1[[#This Row],[Additional_Charges]]</f>
        <v>45.4</v>
      </c>
      <c r="O264">
        <f>_xlfn.XLOOKUP(Table1[[#This Row],[OrderID]],'Courier company invoice'!B:B,'Courier company invoice'!H:H)</f>
        <v>45.4</v>
      </c>
      <c r="P264" s="1">
        <f>Table1[[#This Row],[Billing Amount]]-Table1[[#This Row],[Expected charges]]</f>
        <v>0</v>
      </c>
      <c r="Q264" s="1" t="str" cm="1">
        <f t="array" ref="Q26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265" spans="1:17" x14ac:dyDescent="0.3">
      <c r="A265" s="3" t="s">
        <v>83</v>
      </c>
      <c r="B265" s="2">
        <f>Table1[[#This Row],[Order ID]]*1</f>
        <v>2001807852</v>
      </c>
      <c r="C265" s="2">
        <v>8904223818706</v>
      </c>
      <c r="D265">
        <v>1</v>
      </c>
      <c r="E265">
        <f>_xlfn.XLOOKUP(Table1[[#This Row],[SKU (Product Code)]],'SKU Master'!A:A,'SKU Master'!B:B)</f>
        <v>127</v>
      </c>
      <c r="F265">
        <f>Table1[[#This Row],[Product weight]]*Table1[[#This Row],[Order Qty]]</f>
        <v>127</v>
      </c>
      <c r="G265">
        <f>Table1[[#This Row],[Weight per order (g)]]/1000</f>
        <v>0.127</v>
      </c>
      <c r="H265" s="1">
        <f>CEILING(Table1[[#This Row],[Weight per order (Kg)]],0.5)</f>
        <v>0.5</v>
      </c>
      <c r="I265" t="str">
        <f>_xlfn.XLOOKUP(Table1[[#This Row],[OrderID]],'Courier company invoice'!B:B,'Courier company invoice'!F:F)</f>
        <v>d</v>
      </c>
      <c r="J265" s="1" t="str">
        <f>_xlfn.XLOOKUP(Table1[[#This Row],[OrderID]],Table2[Order ID],Table2[Type of Shipment],"Not Found")</f>
        <v>Forward charges</v>
      </c>
      <c r="K265">
        <f>INDEX(Sheet1[],1,MATCH("fwd_"&amp;Table1[[#This Row],[Zone]]&amp;"_fixed",Sheet1[#Headers],0))</f>
        <v>45.4</v>
      </c>
      <c r="L265">
        <f>INDEX(Sheet1[],1,MATCH("fwd_"&amp;Table1[[#This Row],[Zone]]&amp;"_additional",Sheet1[#Headers],0))</f>
        <v>44.8</v>
      </c>
      <c r="M265" s="1">
        <f>(Table1[[#This Row],[Weight slab]]-0.5)/0.5</f>
        <v>0</v>
      </c>
      <c r="N265" s="1">
        <f>Table1[[#This Row],[Fixed_Charges]]+Table1[[#This Row],[No_of_Extra_slabs]]*Table1[[#This Row],[Additional_Charges]]</f>
        <v>45.4</v>
      </c>
      <c r="O265">
        <f>_xlfn.XLOOKUP(Table1[[#This Row],[OrderID]],'Courier company invoice'!B:B,'Courier company invoice'!H:H)</f>
        <v>90.2</v>
      </c>
      <c r="P265" s="1">
        <f>Table1[[#This Row],[Billing Amount]]-Table1[[#This Row],[Expected charges]]</f>
        <v>44.800000000000004</v>
      </c>
      <c r="Q265" s="1" t="str" cm="1">
        <f t="array" ref="Q26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66" spans="1:17" x14ac:dyDescent="0.3">
      <c r="A266" s="3" t="s">
        <v>83</v>
      </c>
      <c r="B266" s="2">
        <f>Table1[[#This Row],[Order ID]]*1</f>
        <v>2001807852</v>
      </c>
      <c r="C266" s="2">
        <v>8904223818942</v>
      </c>
      <c r="D266">
        <v>1</v>
      </c>
      <c r="E266">
        <f>_xlfn.XLOOKUP(Table1[[#This Row],[SKU (Product Code)]],'SKU Master'!A:A,'SKU Master'!B:B)</f>
        <v>133</v>
      </c>
      <c r="F266">
        <f>Table1[[#This Row],[Product weight]]*Table1[[#This Row],[Order Qty]]</f>
        <v>133</v>
      </c>
      <c r="G266">
        <f>Table1[[#This Row],[Weight per order (g)]]/1000</f>
        <v>0.13300000000000001</v>
      </c>
      <c r="H266" s="1">
        <f>CEILING(Table1[[#This Row],[Weight per order (Kg)]],0.5)</f>
        <v>0.5</v>
      </c>
      <c r="I266" t="str">
        <f>_xlfn.XLOOKUP(Table1[[#This Row],[OrderID]],'Courier company invoice'!B:B,'Courier company invoice'!F:F)</f>
        <v>d</v>
      </c>
      <c r="J266" s="1" t="str">
        <f>_xlfn.XLOOKUP(Table1[[#This Row],[OrderID]],Table2[Order ID],Table2[Type of Shipment],"Not Found")</f>
        <v>Forward charges</v>
      </c>
      <c r="K266">
        <f>INDEX(Sheet1[],1,MATCH("fwd_"&amp;Table1[[#This Row],[Zone]]&amp;"_fixed",Sheet1[#Headers],0))</f>
        <v>45.4</v>
      </c>
      <c r="L266">
        <f>INDEX(Sheet1[],1,MATCH("fwd_"&amp;Table1[[#This Row],[Zone]]&amp;"_additional",Sheet1[#Headers],0))</f>
        <v>44.8</v>
      </c>
      <c r="M266" s="1">
        <f>(Table1[[#This Row],[Weight slab]]-0.5)/0.5</f>
        <v>0</v>
      </c>
      <c r="N266" s="1">
        <f>Table1[[#This Row],[Fixed_Charges]]+Table1[[#This Row],[No_of_Extra_slabs]]*Table1[[#This Row],[Additional_Charges]]</f>
        <v>45.4</v>
      </c>
      <c r="O266">
        <f>_xlfn.XLOOKUP(Table1[[#This Row],[OrderID]],'Courier company invoice'!B:B,'Courier company invoice'!H:H)</f>
        <v>90.2</v>
      </c>
      <c r="P266" s="1">
        <f>Table1[[#This Row],[Billing Amount]]-Table1[[#This Row],[Expected charges]]</f>
        <v>44.800000000000004</v>
      </c>
      <c r="Q266" s="1" t="str" cm="1">
        <f t="array" ref="Q26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67" spans="1:17" x14ac:dyDescent="0.3">
      <c r="A267" s="3" t="s">
        <v>83</v>
      </c>
      <c r="B267" s="2">
        <f>Table1[[#This Row],[Order ID]]*1</f>
        <v>2001807852</v>
      </c>
      <c r="C267" s="2">
        <v>8904223818850</v>
      </c>
      <c r="D267">
        <v>1</v>
      </c>
      <c r="E267">
        <f>_xlfn.XLOOKUP(Table1[[#This Row],[SKU (Product Code)]],'SKU Master'!A:A,'SKU Master'!B:B)</f>
        <v>240</v>
      </c>
      <c r="F267">
        <f>Table1[[#This Row],[Product weight]]*Table1[[#This Row],[Order Qty]]</f>
        <v>240</v>
      </c>
      <c r="G267">
        <f>Table1[[#This Row],[Weight per order (g)]]/1000</f>
        <v>0.24</v>
      </c>
      <c r="H267" s="1">
        <f>CEILING(Table1[[#This Row],[Weight per order (Kg)]],0.5)</f>
        <v>0.5</v>
      </c>
      <c r="I267" t="str">
        <f>_xlfn.XLOOKUP(Table1[[#This Row],[OrderID]],'Courier company invoice'!B:B,'Courier company invoice'!F:F)</f>
        <v>d</v>
      </c>
      <c r="J267" s="1" t="str">
        <f>_xlfn.XLOOKUP(Table1[[#This Row],[OrderID]],Table2[Order ID],Table2[Type of Shipment],"Not Found")</f>
        <v>Forward charges</v>
      </c>
      <c r="K267">
        <f>INDEX(Sheet1[],1,MATCH("fwd_"&amp;Table1[[#This Row],[Zone]]&amp;"_fixed",Sheet1[#Headers],0))</f>
        <v>45.4</v>
      </c>
      <c r="L267">
        <f>INDEX(Sheet1[],1,MATCH("fwd_"&amp;Table1[[#This Row],[Zone]]&amp;"_additional",Sheet1[#Headers],0))</f>
        <v>44.8</v>
      </c>
      <c r="M267" s="1">
        <f>(Table1[[#This Row],[Weight slab]]-0.5)/0.5</f>
        <v>0</v>
      </c>
      <c r="N267" s="1">
        <f>Table1[[#This Row],[Fixed_Charges]]+Table1[[#This Row],[No_of_Extra_slabs]]*Table1[[#This Row],[Additional_Charges]]</f>
        <v>45.4</v>
      </c>
      <c r="O267">
        <f>_xlfn.XLOOKUP(Table1[[#This Row],[OrderID]],'Courier company invoice'!B:B,'Courier company invoice'!H:H)</f>
        <v>90.2</v>
      </c>
      <c r="P267" s="1">
        <f>Table1[[#This Row],[Billing Amount]]-Table1[[#This Row],[Expected charges]]</f>
        <v>44.800000000000004</v>
      </c>
      <c r="Q267" s="1" t="str" cm="1">
        <f t="array" ref="Q26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68" spans="1:17" x14ac:dyDescent="0.3">
      <c r="A268" s="3" t="s">
        <v>84</v>
      </c>
      <c r="B268" s="2">
        <f>Table1[[#This Row],[Order ID]]*1</f>
        <v>2001807814</v>
      </c>
      <c r="C268" s="2">
        <v>8904223818706</v>
      </c>
      <c r="D268">
        <v>1</v>
      </c>
      <c r="E268">
        <f>_xlfn.XLOOKUP(Table1[[#This Row],[SKU (Product Code)]],'SKU Master'!A:A,'SKU Master'!B:B)</f>
        <v>127</v>
      </c>
      <c r="F268">
        <f>Table1[[#This Row],[Product weight]]*Table1[[#This Row],[Order Qty]]</f>
        <v>127</v>
      </c>
      <c r="G268">
        <f>Table1[[#This Row],[Weight per order (g)]]/1000</f>
        <v>0.127</v>
      </c>
      <c r="H268" s="1">
        <f>CEILING(Table1[[#This Row],[Weight per order (Kg)]],0.5)</f>
        <v>0.5</v>
      </c>
      <c r="I268" t="str">
        <f>_xlfn.XLOOKUP(Table1[[#This Row],[OrderID]],'Courier company invoice'!B:B,'Courier company invoice'!F:F)</f>
        <v>b</v>
      </c>
      <c r="J268" s="1" t="str">
        <f>_xlfn.XLOOKUP(Table1[[#This Row],[OrderID]],Table2[Order ID],Table2[Type of Shipment],"Not Found")</f>
        <v>Forward charges</v>
      </c>
      <c r="K268">
        <f>INDEX(Sheet1[],1,MATCH("fwd_"&amp;Table1[[#This Row],[Zone]]&amp;"_fixed",Sheet1[#Headers],0))</f>
        <v>33</v>
      </c>
      <c r="L268">
        <f>INDEX(Sheet1[],1,MATCH("fwd_"&amp;Table1[[#This Row],[Zone]]&amp;"_additional",Sheet1[#Headers],0))</f>
        <v>28.3</v>
      </c>
      <c r="M268" s="1">
        <f>(Table1[[#This Row],[Weight slab]]-0.5)/0.5</f>
        <v>0</v>
      </c>
      <c r="N268" s="1">
        <f>Table1[[#This Row],[Fixed_Charges]]+Table1[[#This Row],[No_of_Extra_slabs]]*Table1[[#This Row],[Additional_Charges]]</f>
        <v>33</v>
      </c>
      <c r="O268">
        <f>_xlfn.XLOOKUP(Table1[[#This Row],[OrderID]],'Courier company invoice'!B:B,'Courier company invoice'!H:H)</f>
        <v>61.3</v>
      </c>
      <c r="P268" s="1">
        <f>Table1[[#This Row],[Billing Amount]]-Table1[[#This Row],[Expected charges]]</f>
        <v>28.299999999999997</v>
      </c>
      <c r="Q268" s="1" t="str" cm="1">
        <f t="array" ref="Q26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69" spans="1:17" x14ac:dyDescent="0.3">
      <c r="A269" s="3" t="s">
        <v>84</v>
      </c>
      <c r="B269" s="2">
        <f>Table1[[#This Row],[Order ID]]*1</f>
        <v>2001807814</v>
      </c>
      <c r="C269" s="2">
        <v>8904223818850</v>
      </c>
      <c r="D269">
        <v>1</v>
      </c>
      <c r="E269">
        <f>_xlfn.XLOOKUP(Table1[[#This Row],[SKU (Product Code)]],'SKU Master'!A:A,'SKU Master'!B:B)</f>
        <v>240</v>
      </c>
      <c r="F269">
        <f>Table1[[#This Row],[Product weight]]*Table1[[#This Row],[Order Qty]]</f>
        <v>240</v>
      </c>
      <c r="G269">
        <f>Table1[[#This Row],[Weight per order (g)]]/1000</f>
        <v>0.24</v>
      </c>
      <c r="H269" s="1">
        <f>CEILING(Table1[[#This Row],[Weight per order (Kg)]],0.5)</f>
        <v>0.5</v>
      </c>
      <c r="I269" t="str">
        <f>_xlfn.XLOOKUP(Table1[[#This Row],[OrderID]],'Courier company invoice'!B:B,'Courier company invoice'!F:F)</f>
        <v>b</v>
      </c>
      <c r="J269" s="1" t="str">
        <f>_xlfn.XLOOKUP(Table1[[#This Row],[OrderID]],Table2[Order ID],Table2[Type of Shipment],"Not Found")</f>
        <v>Forward charges</v>
      </c>
      <c r="K269">
        <f>INDEX(Sheet1[],1,MATCH("fwd_"&amp;Table1[[#This Row],[Zone]]&amp;"_fixed",Sheet1[#Headers],0))</f>
        <v>33</v>
      </c>
      <c r="L269">
        <f>INDEX(Sheet1[],1,MATCH("fwd_"&amp;Table1[[#This Row],[Zone]]&amp;"_additional",Sheet1[#Headers],0))</f>
        <v>28.3</v>
      </c>
      <c r="M269" s="1">
        <f>(Table1[[#This Row],[Weight slab]]-0.5)/0.5</f>
        <v>0</v>
      </c>
      <c r="N269" s="1">
        <f>Table1[[#This Row],[Fixed_Charges]]+Table1[[#This Row],[No_of_Extra_slabs]]*Table1[[#This Row],[Additional_Charges]]</f>
        <v>33</v>
      </c>
      <c r="O269">
        <f>_xlfn.XLOOKUP(Table1[[#This Row],[OrderID]],'Courier company invoice'!B:B,'Courier company invoice'!H:H)</f>
        <v>61.3</v>
      </c>
      <c r="P269" s="1">
        <f>Table1[[#This Row],[Billing Amount]]-Table1[[#This Row],[Expected charges]]</f>
        <v>28.299999999999997</v>
      </c>
      <c r="Q269" s="1" t="str" cm="1">
        <f t="array" ref="Q26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70" spans="1:17" x14ac:dyDescent="0.3">
      <c r="A270" s="3" t="s">
        <v>84</v>
      </c>
      <c r="B270" s="2">
        <f>Table1[[#This Row],[Order ID]]*1</f>
        <v>2001807814</v>
      </c>
      <c r="C270" s="2">
        <v>8904223819468</v>
      </c>
      <c r="D270">
        <v>1</v>
      </c>
      <c r="E270">
        <f>_xlfn.XLOOKUP(Table1[[#This Row],[SKU (Product Code)]],'SKU Master'!A:A,'SKU Master'!B:B)</f>
        <v>240</v>
      </c>
      <c r="F270">
        <f>Table1[[#This Row],[Product weight]]*Table1[[#This Row],[Order Qty]]</f>
        <v>240</v>
      </c>
      <c r="G270">
        <f>Table1[[#This Row],[Weight per order (g)]]/1000</f>
        <v>0.24</v>
      </c>
      <c r="H270" s="1">
        <f>CEILING(Table1[[#This Row],[Weight per order (Kg)]],0.5)</f>
        <v>0.5</v>
      </c>
      <c r="I270" t="str">
        <f>_xlfn.XLOOKUP(Table1[[#This Row],[OrderID]],'Courier company invoice'!B:B,'Courier company invoice'!F:F)</f>
        <v>b</v>
      </c>
      <c r="J270" s="1" t="str">
        <f>_xlfn.XLOOKUP(Table1[[#This Row],[OrderID]],Table2[Order ID],Table2[Type of Shipment],"Not Found")</f>
        <v>Forward charges</v>
      </c>
      <c r="K270">
        <f>INDEX(Sheet1[],1,MATCH("fwd_"&amp;Table1[[#This Row],[Zone]]&amp;"_fixed",Sheet1[#Headers],0))</f>
        <v>33</v>
      </c>
      <c r="L270">
        <f>INDEX(Sheet1[],1,MATCH("fwd_"&amp;Table1[[#This Row],[Zone]]&amp;"_additional",Sheet1[#Headers],0))</f>
        <v>28.3</v>
      </c>
      <c r="M270" s="1">
        <f>(Table1[[#This Row],[Weight slab]]-0.5)/0.5</f>
        <v>0</v>
      </c>
      <c r="N270" s="1">
        <f>Table1[[#This Row],[Fixed_Charges]]+Table1[[#This Row],[No_of_Extra_slabs]]*Table1[[#This Row],[Additional_Charges]]</f>
        <v>33</v>
      </c>
      <c r="O270">
        <f>_xlfn.XLOOKUP(Table1[[#This Row],[OrderID]],'Courier company invoice'!B:B,'Courier company invoice'!H:H)</f>
        <v>61.3</v>
      </c>
      <c r="P270" s="1">
        <f>Table1[[#This Row],[Billing Amount]]-Table1[[#This Row],[Expected charges]]</f>
        <v>28.299999999999997</v>
      </c>
      <c r="Q270" s="1" t="str" cm="1">
        <f t="array" ref="Q27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71" spans="1:17" x14ac:dyDescent="0.3">
      <c r="A271" s="3" t="s">
        <v>85</v>
      </c>
      <c r="B271" s="2">
        <f>Table1[[#This Row],[Order ID]]*1</f>
        <v>2001807785</v>
      </c>
      <c r="C271" s="2">
        <v>8904223818706</v>
      </c>
      <c r="D271">
        <v>1</v>
      </c>
      <c r="E271">
        <f>_xlfn.XLOOKUP(Table1[[#This Row],[SKU (Product Code)]],'SKU Master'!A:A,'SKU Master'!B:B)</f>
        <v>127</v>
      </c>
      <c r="F271">
        <f>Table1[[#This Row],[Product weight]]*Table1[[#This Row],[Order Qty]]</f>
        <v>127</v>
      </c>
      <c r="G271">
        <f>Table1[[#This Row],[Weight per order (g)]]/1000</f>
        <v>0.127</v>
      </c>
      <c r="H271" s="1">
        <f>CEILING(Table1[[#This Row],[Weight per order (Kg)]],0.5)</f>
        <v>0.5</v>
      </c>
      <c r="I271" t="str">
        <f>_xlfn.XLOOKUP(Table1[[#This Row],[OrderID]],'Courier company invoice'!B:B,'Courier company invoice'!F:F)</f>
        <v>d</v>
      </c>
      <c r="J271" s="1" t="str">
        <f>_xlfn.XLOOKUP(Table1[[#This Row],[OrderID]],Table2[Order ID],Table2[Type of Shipment],"Not Found")</f>
        <v>Forward charges</v>
      </c>
      <c r="K271">
        <f>INDEX(Sheet1[],1,MATCH("fwd_"&amp;Table1[[#This Row],[Zone]]&amp;"_fixed",Sheet1[#Headers],0))</f>
        <v>45.4</v>
      </c>
      <c r="L271">
        <f>INDEX(Sheet1[],1,MATCH("fwd_"&amp;Table1[[#This Row],[Zone]]&amp;"_additional",Sheet1[#Headers],0))</f>
        <v>44.8</v>
      </c>
      <c r="M271" s="1">
        <f>(Table1[[#This Row],[Weight slab]]-0.5)/0.5</f>
        <v>0</v>
      </c>
      <c r="N271" s="1">
        <f>Table1[[#This Row],[Fixed_Charges]]+Table1[[#This Row],[No_of_Extra_slabs]]*Table1[[#This Row],[Additional_Charges]]</f>
        <v>45.4</v>
      </c>
      <c r="O271">
        <f>_xlfn.XLOOKUP(Table1[[#This Row],[OrderID]],'Courier company invoice'!B:B,'Courier company invoice'!H:H)</f>
        <v>90.2</v>
      </c>
      <c r="P271" s="1">
        <f>Table1[[#This Row],[Billing Amount]]-Table1[[#This Row],[Expected charges]]</f>
        <v>44.800000000000004</v>
      </c>
      <c r="Q271" s="1" t="str" cm="1">
        <f t="array" ref="Q27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72" spans="1:17" x14ac:dyDescent="0.3">
      <c r="A272" s="3" t="s">
        <v>85</v>
      </c>
      <c r="B272" s="2">
        <f>Table1[[#This Row],[Order ID]]*1</f>
        <v>2001807785</v>
      </c>
      <c r="C272" s="2">
        <v>8904223818942</v>
      </c>
      <c r="D272">
        <v>1</v>
      </c>
      <c r="E272">
        <f>_xlfn.XLOOKUP(Table1[[#This Row],[SKU (Product Code)]],'SKU Master'!A:A,'SKU Master'!B:B)</f>
        <v>133</v>
      </c>
      <c r="F272">
        <f>Table1[[#This Row],[Product weight]]*Table1[[#This Row],[Order Qty]]</f>
        <v>133</v>
      </c>
      <c r="G272">
        <f>Table1[[#This Row],[Weight per order (g)]]/1000</f>
        <v>0.13300000000000001</v>
      </c>
      <c r="H272" s="1">
        <f>CEILING(Table1[[#This Row],[Weight per order (Kg)]],0.5)</f>
        <v>0.5</v>
      </c>
      <c r="I272" t="str">
        <f>_xlfn.XLOOKUP(Table1[[#This Row],[OrderID]],'Courier company invoice'!B:B,'Courier company invoice'!F:F)</f>
        <v>d</v>
      </c>
      <c r="J272" s="1" t="str">
        <f>_xlfn.XLOOKUP(Table1[[#This Row],[OrderID]],Table2[Order ID],Table2[Type of Shipment],"Not Found")</f>
        <v>Forward charges</v>
      </c>
      <c r="K272">
        <f>INDEX(Sheet1[],1,MATCH("fwd_"&amp;Table1[[#This Row],[Zone]]&amp;"_fixed",Sheet1[#Headers],0))</f>
        <v>45.4</v>
      </c>
      <c r="L272">
        <f>INDEX(Sheet1[],1,MATCH("fwd_"&amp;Table1[[#This Row],[Zone]]&amp;"_additional",Sheet1[#Headers],0))</f>
        <v>44.8</v>
      </c>
      <c r="M272" s="1">
        <f>(Table1[[#This Row],[Weight slab]]-0.5)/0.5</f>
        <v>0</v>
      </c>
      <c r="N272" s="1">
        <f>Table1[[#This Row],[Fixed_Charges]]+Table1[[#This Row],[No_of_Extra_slabs]]*Table1[[#This Row],[Additional_Charges]]</f>
        <v>45.4</v>
      </c>
      <c r="O272">
        <f>_xlfn.XLOOKUP(Table1[[#This Row],[OrderID]],'Courier company invoice'!B:B,'Courier company invoice'!H:H)</f>
        <v>90.2</v>
      </c>
      <c r="P272" s="1">
        <f>Table1[[#This Row],[Billing Amount]]-Table1[[#This Row],[Expected charges]]</f>
        <v>44.800000000000004</v>
      </c>
      <c r="Q272" s="1" t="str" cm="1">
        <f t="array" ref="Q27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73" spans="1:17" x14ac:dyDescent="0.3">
      <c r="A273" s="3" t="s">
        <v>85</v>
      </c>
      <c r="B273" s="2">
        <f>Table1[[#This Row],[Order ID]]*1</f>
        <v>2001807785</v>
      </c>
      <c r="C273" s="2">
        <v>8904223818850</v>
      </c>
      <c r="D273">
        <v>1</v>
      </c>
      <c r="E273">
        <f>_xlfn.XLOOKUP(Table1[[#This Row],[SKU (Product Code)]],'SKU Master'!A:A,'SKU Master'!B:B)</f>
        <v>240</v>
      </c>
      <c r="F273">
        <f>Table1[[#This Row],[Product weight]]*Table1[[#This Row],[Order Qty]]</f>
        <v>240</v>
      </c>
      <c r="G273">
        <f>Table1[[#This Row],[Weight per order (g)]]/1000</f>
        <v>0.24</v>
      </c>
      <c r="H273" s="1">
        <f>CEILING(Table1[[#This Row],[Weight per order (Kg)]],0.5)</f>
        <v>0.5</v>
      </c>
      <c r="I273" t="str">
        <f>_xlfn.XLOOKUP(Table1[[#This Row],[OrderID]],'Courier company invoice'!B:B,'Courier company invoice'!F:F)</f>
        <v>d</v>
      </c>
      <c r="J273" s="1" t="str">
        <f>_xlfn.XLOOKUP(Table1[[#This Row],[OrderID]],Table2[Order ID],Table2[Type of Shipment],"Not Found")</f>
        <v>Forward charges</v>
      </c>
      <c r="K273">
        <f>INDEX(Sheet1[],1,MATCH("fwd_"&amp;Table1[[#This Row],[Zone]]&amp;"_fixed",Sheet1[#Headers],0))</f>
        <v>45.4</v>
      </c>
      <c r="L273">
        <f>INDEX(Sheet1[],1,MATCH("fwd_"&amp;Table1[[#This Row],[Zone]]&amp;"_additional",Sheet1[#Headers],0))</f>
        <v>44.8</v>
      </c>
      <c r="M273" s="1">
        <f>(Table1[[#This Row],[Weight slab]]-0.5)/0.5</f>
        <v>0</v>
      </c>
      <c r="N273" s="1">
        <f>Table1[[#This Row],[Fixed_Charges]]+Table1[[#This Row],[No_of_Extra_slabs]]*Table1[[#This Row],[Additional_Charges]]</f>
        <v>45.4</v>
      </c>
      <c r="O273">
        <f>_xlfn.XLOOKUP(Table1[[#This Row],[OrderID]],'Courier company invoice'!B:B,'Courier company invoice'!H:H)</f>
        <v>90.2</v>
      </c>
      <c r="P273" s="1">
        <f>Table1[[#This Row],[Billing Amount]]-Table1[[#This Row],[Expected charges]]</f>
        <v>44.800000000000004</v>
      </c>
      <c r="Q273" s="1" t="str" cm="1">
        <f t="array" ref="Q27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74" spans="1:17" x14ac:dyDescent="0.3">
      <c r="A274" s="3" t="s">
        <v>86</v>
      </c>
      <c r="B274" s="2">
        <f>Table1[[#This Row],[Order ID]]*1</f>
        <v>2001807613</v>
      </c>
      <c r="C274" s="2">
        <v>8904223819147</v>
      </c>
      <c r="D274">
        <v>1</v>
      </c>
      <c r="E274">
        <f>_xlfn.XLOOKUP(Table1[[#This Row],[SKU (Product Code)]],'SKU Master'!A:A,'SKU Master'!B:B)</f>
        <v>240</v>
      </c>
      <c r="F274">
        <f>Table1[[#This Row],[Product weight]]*Table1[[#This Row],[Order Qty]]</f>
        <v>240</v>
      </c>
      <c r="G274">
        <f>Table1[[#This Row],[Weight per order (g)]]/1000</f>
        <v>0.24</v>
      </c>
      <c r="H274" s="1">
        <f>CEILING(Table1[[#This Row],[Weight per order (Kg)]],0.5)</f>
        <v>0.5</v>
      </c>
      <c r="I274" t="str">
        <f>_xlfn.XLOOKUP(Table1[[#This Row],[OrderID]],'Courier company invoice'!B:B,'Courier company invoice'!F:F)</f>
        <v>d</v>
      </c>
      <c r="J274" s="1" t="str">
        <f>_xlfn.XLOOKUP(Table1[[#This Row],[OrderID]],Table2[Order ID],Table2[Type of Shipment],"Not Found")</f>
        <v>Forward charges</v>
      </c>
      <c r="K274">
        <f>INDEX(Sheet1[],1,MATCH("fwd_"&amp;Table1[[#This Row],[Zone]]&amp;"_fixed",Sheet1[#Headers],0))</f>
        <v>45.4</v>
      </c>
      <c r="L274">
        <f>INDEX(Sheet1[],1,MATCH("fwd_"&amp;Table1[[#This Row],[Zone]]&amp;"_additional",Sheet1[#Headers],0))</f>
        <v>44.8</v>
      </c>
      <c r="M274" s="1">
        <f>(Table1[[#This Row],[Weight slab]]-0.5)/0.5</f>
        <v>0</v>
      </c>
      <c r="N274" s="1">
        <f>Table1[[#This Row],[Fixed_Charges]]+Table1[[#This Row],[No_of_Extra_slabs]]*Table1[[#This Row],[Additional_Charges]]</f>
        <v>45.4</v>
      </c>
      <c r="O274">
        <f>_xlfn.XLOOKUP(Table1[[#This Row],[OrderID]],'Courier company invoice'!B:B,'Courier company invoice'!H:H)</f>
        <v>135</v>
      </c>
      <c r="P274" s="1">
        <f>Table1[[#This Row],[Billing Amount]]-Table1[[#This Row],[Expected charges]]</f>
        <v>89.6</v>
      </c>
      <c r="Q274" s="1" t="str" cm="1">
        <f t="array" ref="Q27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75" spans="1:17" x14ac:dyDescent="0.3">
      <c r="A275" s="3" t="s">
        <v>86</v>
      </c>
      <c r="B275" s="2">
        <f>Table1[[#This Row],[Order ID]]*1</f>
        <v>2001807613</v>
      </c>
      <c r="C275" s="2">
        <v>8904223819468</v>
      </c>
      <c r="D275">
        <v>1</v>
      </c>
      <c r="E275">
        <f>_xlfn.XLOOKUP(Table1[[#This Row],[SKU (Product Code)]],'SKU Master'!A:A,'SKU Master'!B:B)</f>
        <v>240</v>
      </c>
      <c r="F275">
        <f>Table1[[#This Row],[Product weight]]*Table1[[#This Row],[Order Qty]]</f>
        <v>240</v>
      </c>
      <c r="G275">
        <f>Table1[[#This Row],[Weight per order (g)]]/1000</f>
        <v>0.24</v>
      </c>
      <c r="H275" s="1">
        <f>CEILING(Table1[[#This Row],[Weight per order (Kg)]],0.5)</f>
        <v>0.5</v>
      </c>
      <c r="I275" t="str">
        <f>_xlfn.XLOOKUP(Table1[[#This Row],[OrderID]],'Courier company invoice'!B:B,'Courier company invoice'!F:F)</f>
        <v>d</v>
      </c>
      <c r="J275" s="1" t="str">
        <f>_xlfn.XLOOKUP(Table1[[#This Row],[OrderID]],Table2[Order ID],Table2[Type of Shipment],"Not Found")</f>
        <v>Forward charges</v>
      </c>
      <c r="K275">
        <f>INDEX(Sheet1[],1,MATCH("fwd_"&amp;Table1[[#This Row],[Zone]]&amp;"_fixed",Sheet1[#Headers],0))</f>
        <v>45.4</v>
      </c>
      <c r="L275">
        <f>INDEX(Sheet1[],1,MATCH("fwd_"&amp;Table1[[#This Row],[Zone]]&amp;"_additional",Sheet1[#Headers],0))</f>
        <v>44.8</v>
      </c>
      <c r="M275" s="1">
        <f>(Table1[[#This Row],[Weight slab]]-0.5)/0.5</f>
        <v>0</v>
      </c>
      <c r="N275" s="1">
        <f>Table1[[#This Row],[Fixed_Charges]]+Table1[[#This Row],[No_of_Extra_slabs]]*Table1[[#This Row],[Additional_Charges]]</f>
        <v>45.4</v>
      </c>
      <c r="O275">
        <f>_xlfn.XLOOKUP(Table1[[#This Row],[OrderID]],'Courier company invoice'!B:B,'Courier company invoice'!H:H)</f>
        <v>135</v>
      </c>
      <c r="P275" s="1">
        <f>Table1[[#This Row],[Billing Amount]]-Table1[[#This Row],[Expected charges]]</f>
        <v>89.6</v>
      </c>
      <c r="Q275" s="1" t="str" cm="1">
        <f t="array" ref="Q27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76" spans="1:17" x14ac:dyDescent="0.3">
      <c r="A276" s="3" t="s">
        <v>86</v>
      </c>
      <c r="B276" s="2">
        <f>Table1[[#This Row],[Order ID]]*1</f>
        <v>2001807613</v>
      </c>
      <c r="C276" s="2">
        <v>8904223819277</v>
      </c>
      <c r="D276">
        <v>1</v>
      </c>
      <c r="E276">
        <f>_xlfn.XLOOKUP(Table1[[#This Row],[SKU (Product Code)]],'SKU Master'!A:A,'SKU Master'!B:B)</f>
        <v>350</v>
      </c>
      <c r="F276">
        <f>Table1[[#This Row],[Product weight]]*Table1[[#This Row],[Order Qty]]</f>
        <v>350</v>
      </c>
      <c r="G276">
        <f>Table1[[#This Row],[Weight per order (g)]]/1000</f>
        <v>0.35</v>
      </c>
      <c r="H276" s="1">
        <f>CEILING(Table1[[#This Row],[Weight per order (Kg)]],0.5)</f>
        <v>0.5</v>
      </c>
      <c r="I276" t="str">
        <f>_xlfn.XLOOKUP(Table1[[#This Row],[OrderID]],'Courier company invoice'!B:B,'Courier company invoice'!F:F)</f>
        <v>d</v>
      </c>
      <c r="J276" s="1" t="str">
        <f>_xlfn.XLOOKUP(Table1[[#This Row],[OrderID]],Table2[Order ID],Table2[Type of Shipment],"Not Found")</f>
        <v>Forward charges</v>
      </c>
      <c r="K276">
        <f>INDEX(Sheet1[],1,MATCH("fwd_"&amp;Table1[[#This Row],[Zone]]&amp;"_fixed",Sheet1[#Headers],0))</f>
        <v>45.4</v>
      </c>
      <c r="L276">
        <f>INDEX(Sheet1[],1,MATCH("fwd_"&amp;Table1[[#This Row],[Zone]]&amp;"_additional",Sheet1[#Headers],0))</f>
        <v>44.8</v>
      </c>
      <c r="M276" s="1">
        <f>(Table1[[#This Row],[Weight slab]]-0.5)/0.5</f>
        <v>0</v>
      </c>
      <c r="N276" s="1">
        <f>Table1[[#This Row],[Fixed_Charges]]+Table1[[#This Row],[No_of_Extra_slabs]]*Table1[[#This Row],[Additional_Charges]]</f>
        <v>45.4</v>
      </c>
      <c r="O276">
        <f>_xlfn.XLOOKUP(Table1[[#This Row],[OrderID]],'Courier company invoice'!B:B,'Courier company invoice'!H:H)</f>
        <v>135</v>
      </c>
      <c r="P276" s="1">
        <f>Table1[[#This Row],[Billing Amount]]-Table1[[#This Row],[Expected charges]]</f>
        <v>89.6</v>
      </c>
      <c r="Q276" s="1" t="str" cm="1">
        <f t="array" ref="Q27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77" spans="1:17" x14ac:dyDescent="0.3">
      <c r="A277" s="3" t="s">
        <v>87</v>
      </c>
      <c r="B277" s="2">
        <f>Table1[[#This Row],[Order ID]]*1</f>
        <v>2001807415</v>
      </c>
      <c r="C277" s="2">
        <v>8904223818850</v>
      </c>
      <c r="D277">
        <v>2</v>
      </c>
      <c r="E277">
        <f>_xlfn.XLOOKUP(Table1[[#This Row],[SKU (Product Code)]],'SKU Master'!A:A,'SKU Master'!B:B)</f>
        <v>240</v>
      </c>
      <c r="F277">
        <f>Table1[[#This Row],[Product weight]]*Table1[[#This Row],[Order Qty]]</f>
        <v>480</v>
      </c>
      <c r="G277">
        <f>Table1[[#This Row],[Weight per order (g)]]/1000</f>
        <v>0.48</v>
      </c>
      <c r="H277" s="1">
        <f>CEILING(Table1[[#This Row],[Weight per order (Kg)]],0.5)</f>
        <v>0.5</v>
      </c>
      <c r="I277" t="str">
        <f>_xlfn.XLOOKUP(Table1[[#This Row],[OrderID]],'Courier company invoice'!B:B,'Courier company invoice'!F:F)</f>
        <v>b</v>
      </c>
      <c r="J277" s="1" t="str">
        <f>_xlfn.XLOOKUP(Table1[[#This Row],[OrderID]],Table2[Order ID],Table2[Type of Shipment],"Not Found")</f>
        <v>Forward charges</v>
      </c>
      <c r="K277">
        <f>INDEX(Sheet1[],1,MATCH("fwd_"&amp;Table1[[#This Row],[Zone]]&amp;"_fixed",Sheet1[#Headers],0))</f>
        <v>33</v>
      </c>
      <c r="L277">
        <f>INDEX(Sheet1[],1,MATCH("fwd_"&amp;Table1[[#This Row],[Zone]]&amp;"_additional",Sheet1[#Headers],0))</f>
        <v>28.3</v>
      </c>
      <c r="M277" s="1">
        <f>(Table1[[#This Row],[Weight slab]]-0.5)/0.5</f>
        <v>0</v>
      </c>
      <c r="N277" s="1">
        <f>Table1[[#This Row],[Fixed_Charges]]+Table1[[#This Row],[No_of_Extra_slabs]]*Table1[[#This Row],[Additional_Charges]]</f>
        <v>33</v>
      </c>
      <c r="O277">
        <f>_xlfn.XLOOKUP(Table1[[#This Row],[OrderID]],'Courier company invoice'!B:B,'Courier company invoice'!H:H)</f>
        <v>61.3</v>
      </c>
      <c r="P277" s="1">
        <f>Table1[[#This Row],[Billing Amount]]-Table1[[#This Row],[Expected charges]]</f>
        <v>28.299999999999997</v>
      </c>
      <c r="Q277" s="1" t="str" cm="1">
        <f t="array" ref="Q27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78" spans="1:17" x14ac:dyDescent="0.3">
      <c r="A278" s="3" t="s">
        <v>87</v>
      </c>
      <c r="B278" s="2">
        <f>Table1[[#This Row],[Order ID]]*1</f>
        <v>2001807415</v>
      </c>
      <c r="C278" s="2">
        <v>8904223818713</v>
      </c>
      <c r="D278">
        <v>1</v>
      </c>
      <c r="E278">
        <f>_xlfn.XLOOKUP(Table1[[#This Row],[SKU (Product Code)]],'SKU Master'!A:A,'SKU Master'!B:B)</f>
        <v>120</v>
      </c>
      <c r="F278">
        <f>Table1[[#This Row],[Product weight]]*Table1[[#This Row],[Order Qty]]</f>
        <v>120</v>
      </c>
      <c r="G278">
        <f>Table1[[#This Row],[Weight per order (g)]]/1000</f>
        <v>0.12</v>
      </c>
      <c r="H278" s="1">
        <f>CEILING(Table1[[#This Row],[Weight per order (Kg)]],0.5)</f>
        <v>0.5</v>
      </c>
      <c r="I278" t="str">
        <f>_xlfn.XLOOKUP(Table1[[#This Row],[OrderID]],'Courier company invoice'!B:B,'Courier company invoice'!F:F)</f>
        <v>b</v>
      </c>
      <c r="J278" s="1" t="str">
        <f>_xlfn.XLOOKUP(Table1[[#This Row],[OrderID]],Table2[Order ID],Table2[Type of Shipment],"Not Found")</f>
        <v>Forward charges</v>
      </c>
      <c r="K278">
        <f>INDEX(Sheet1[],1,MATCH("fwd_"&amp;Table1[[#This Row],[Zone]]&amp;"_fixed",Sheet1[#Headers],0))</f>
        <v>33</v>
      </c>
      <c r="L278">
        <f>INDEX(Sheet1[],1,MATCH("fwd_"&amp;Table1[[#This Row],[Zone]]&amp;"_additional",Sheet1[#Headers],0))</f>
        <v>28.3</v>
      </c>
      <c r="M278" s="1">
        <f>(Table1[[#This Row],[Weight slab]]-0.5)/0.5</f>
        <v>0</v>
      </c>
      <c r="N278" s="1">
        <f>Table1[[#This Row],[Fixed_Charges]]+Table1[[#This Row],[No_of_Extra_slabs]]*Table1[[#This Row],[Additional_Charges]]</f>
        <v>33</v>
      </c>
      <c r="O278">
        <f>_xlfn.XLOOKUP(Table1[[#This Row],[OrderID]],'Courier company invoice'!B:B,'Courier company invoice'!H:H)</f>
        <v>61.3</v>
      </c>
      <c r="P278" s="1">
        <f>Table1[[#This Row],[Billing Amount]]-Table1[[#This Row],[Expected charges]]</f>
        <v>28.299999999999997</v>
      </c>
      <c r="Q278" s="1" t="str" cm="1">
        <f t="array" ref="Q27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79" spans="1:17" x14ac:dyDescent="0.3">
      <c r="A279" s="3" t="s">
        <v>87</v>
      </c>
      <c r="B279" s="2">
        <f>Table1[[#This Row],[Order ID]]*1</f>
        <v>2001807415</v>
      </c>
      <c r="C279" s="2">
        <v>8904223819024</v>
      </c>
      <c r="D279">
        <v>4</v>
      </c>
      <c r="E279">
        <f>_xlfn.XLOOKUP(Table1[[#This Row],[SKU (Product Code)]],'SKU Master'!A:A,'SKU Master'!B:B)</f>
        <v>112</v>
      </c>
      <c r="F279">
        <f>Table1[[#This Row],[Product weight]]*Table1[[#This Row],[Order Qty]]</f>
        <v>448</v>
      </c>
      <c r="G279">
        <f>Table1[[#This Row],[Weight per order (g)]]/1000</f>
        <v>0.44800000000000001</v>
      </c>
      <c r="H279" s="1">
        <f>CEILING(Table1[[#This Row],[Weight per order (Kg)]],0.5)</f>
        <v>0.5</v>
      </c>
      <c r="I279" t="str">
        <f>_xlfn.XLOOKUP(Table1[[#This Row],[OrderID]],'Courier company invoice'!B:B,'Courier company invoice'!F:F)</f>
        <v>b</v>
      </c>
      <c r="J279" s="1" t="str">
        <f>_xlfn.XLOOKUP(Table1[[#This Row],[OrderID]],Table2[Order ID],Table2[Type of Shipment],"Not Found")</f>
        <v>Forward charges</v>
      </c>
      <c r="K279">
        <f>INDEX(Sheet1[],1,MATCH("fwd_"&amp;Table1[[#This Row],[Zone]]&amp;"_fixed",Sheet1[#Headers],0))</f>
        <v>33</v>
      </c>
      <c r="L279">
        <f>INDEX(Sheet1[],1,MATCH("fwd_"&amp;Table1[[#This Row],[Zone]]&amp;"_additional",Sheet1[#Headers],0))</f>
        <v>28.3</v>
      </c>
      <c r="M279" s="1">
        <f>(Table1[[#This Row],[Weight slab]]-0.5)/0.5</f>
        <v>0</v>
      </c>
      <c r="N279" s="1">
        <f>Table1[[#This Row],[Fixed_Charges]]+Table1[[#This Row],[No_of_Extra_slabs]]*Table1[[#This Row],[Additional_Charges]]</f>
        <v>33</v>
      </c>
      <c r="O279">
        <f>_xlfn.XLOOKUP(Table1[[#This Row],[OrderID]],'Courier company invoice'!B:B,'Courier company invoice'!H:H)</f>
        <v>61.3</v>
      </c>
      <c r="P279" s="1">
        <f>Table1[[#This Row],[Billing Amount]]-Table1[[#This Row],[Expected charges]]</f>
        <v>28.299999999999997</v>
      </c>
      <c r="Q279" s="1" t="str" cm="1">
        <f t="array" ref="Q27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80" spans="1:17" x14ac:dyDescent="0.3">
      <c r="A280" s="3" t="s">
        <v>88</v>
      </c>
      <c r="B280" s="2">
        <f>Table1[[#This Row],[Order ID]]*1</f>
        <v>2001807362</v>
      </c>
      <c r="C280" s="2">
        <v>8904223819031</v>
      </c>
      <c r="D280">
        <v>6</v>
      </c>
      <c r="E280">
        <f>_xlfn.XLOOKUP(Table1[[#This Row],[SKU (Product Code)]],'SKU Master'!A:A,'SKU Master'!B:B)</f>
        <v>112</v>
      </c>
      <c r="F280">
        <f>Table1[[#This Row],[Product weight]]*Table1[[#This Row],[Order Qty]]</f>
        <v>672</v>
      </c>
      <c r="G280">
        <f>Table1[[#This Row],[Weight per order (g)]]/1000</f>
        <v>0.67200000000000004</v>
      </c>
      <c r="H280" s="1">
        <f>CEILING(Table1[[#This Row],[Weight per order (Kg)]],0.5)</f>
        <v>1</v>
      </c>
      <c r="I280" t="str">
        <f>_xlfn.XLOOKUP(Table1[[#This Row],[OrderID]],'Courier company invoice'!B:B,'Courier company invoice'!F:F)</f>
        <v>d</v>
      </c>
      <c r="J280" s="1" t="str">
        <f>_xlfn.XLOOKUP(Table1[[#This Row],[OrderID]],Table2[Order ID],Table2[Type of Shipment],"Not Found")</f>
        <v>Forward charges</v>
      </c>
      <c r="K280">
        <f>INDEX(Sheet1[],1,MATCH("fwd_"&amp;Table1[[#This Row],[Zone]]&amp;"_fixed",Sheet1[#Headers],0))</f>
        <v>45.4</v>
      </c>
      <c r="L280">
        <f>INDEX(Sheet1[],1,MATCH("fwd_"&amp;Table1[[#This Row],[Zone]]&amp;"_additional",Sheet1[#Headers],0))</f>
        <v>44.8</v>
      </c>
      <c r="M280" s="1">
        <f>(Table1[[#This Row],[Weight slab]]-0.5)/0.5</f>
        <v>1</v>
      </c>
      <c r="N280" s="1">
        <f>Table1[[#This Row],[Fixed_Charges]]+Table1[[#This Row],[No_of_Extra_slabs]]*Table1[[#This Row],[Additional_Charges]]</f>
        <v>90.199999999999989</v>
      </c>
      <c r="O280">
        <f>_xlfn.XLOOKUP(Table1[[#This Row],[OrderID]],'Courier company invoice'!B:B,'Courier company invoice'!H:H)</f>
        <v>179.8</v>
      </c>
      <c r="P280" s="1">
        <f>Table1[[#This Row],[Billing Amount]]-Table1[[#This Row],[Expected charges]]</f>
        <v>89.600000000000023</v>
      </c>
      <c r="Q280" s="1" t="str" cm="1">
        <f t="array" ref="Q28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81" spans="1:17" x14ac:dyDescent="0.3">
      <c r="A281" s="3" t="s">
        <v>88</v>
      </c>
      <c r="B281" s="2">
        <f>Table1[[#This Row],[Order ID]]*1</f>
        <v>2001807362</v>
      </c>
      <c r="C281" s="2">
        <v>8904223819024</v>
      </c>
      <c r="D281">
        <v>6</v>
      </c>
      <c r="E281">
        <f>_xlfn.XLOOKUP(Table1[[#This Row],[SKU (Product Code)]],'SKU Master'!A:A,'SKU Master'!B:B)</f>
        <v>112</v>
      </c>
      <c r="F281">
        <f>Table1[[#This Row],[Product weight]]*Table1[[#This Row],[Order Qty]]</f>
        <v>672</v>
      </c>
      <c r="G281">
        <f>Table1[[#This Row],[Weight per order (g)]]/1000</f>
        <v>0.67200000000000004</v>
      </c>
      <c r="H281" s="1">
        <f>CEILING(Table1[[#This Row],[Weight per order (Kg)]],0.5)</f>
        <v>1</v>
      </c>
      <c r="I281" t="str">
        <f>_xlfn.XLOOKUP(Table1[[#This Row],[OrderID]],'Courier company invoice'!B:B,'Courier company invoice'!F:F)</f>
        <v>d</v>
      </c>
      <c r="J281" s="1" t="str">
        <f>_xlfn.XLOOKUP(Table1[[#This Row],[OrderID]],Table2[Order ID],Table2[Type of Shipment],"Not Found")</f>
        <v>Forward charges</v>
      </c>
      <c r="K281">
        <f>INDEX(Sheet1[],1,MATCH("fwd_"&amp;Table1[[#This Row],[Zone]]&amp;"_fixed",Sheet1[#Headers],0))</f>
        <v>45.4</v>
      </c>
      <c r="L281">
        <f>INDEX(Sheet1[],1,MATCH("fwd_"&amp;Table1[[#This Row],[Zone]]&amp;"_additional",Sheet1[#Headers],0))</f>
        <v>44.8</v>
      </c>
      <c r="M281" s="1">
        <f>(Table1[[#This Row],[Weight slab]]-0.5)/0.5</f>
        <v>1</v>
      </c>
      <c r="N281" s="1">
        <f>Table1[[#This Row],[Fixed_Charges]]+Table1[[#This Row],[No_of_Extra_slabs]]*Table1[[#This Row],[Additional_Charges]]</f>
        <v>90.199999999999989</v>
      </c>
      <c r="O281">
        <f>_xlfn.XLOOKUP(Table1[[#This Row],[OrderID]],'Courier company invoice'!B:B,'Courier company invoice'!H:H)</f>
        <v>179.8</v>
      </c>
      <c r="P281" s="1">
        <f>Table1[[#This Row],[Billing Amount]]-Table1[[#This Row],[Expected charges]]</f>
        <v>89.600000000000023</v>
      </c>
      <c r="Q281" s="1" t="str" cm="1">
        <f t="array" ref="Q28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82" spans="1:17" x14ac:dyDescent="0.3">
      <c r="A282" s="3" t="s">
        <v>88</v>
      </c>
      <c r="B282" s="2">
        <f>Table1[[#This Row],[Order ID]]*1</f>
        <v>2001807362</v>
      </c>
      <c r="C282" s="2">
        <v>8904223819291</v>
      </c>
      <c r="D282">
        <v>2</v>
      </c>
      <c r="E282">
        <f>_xlfn.XLOOKUP(Table1[[#This Row],[SKU (Product Code)]],'SKU Master'!A:A,'SKU Master'!B:B)</f>
        <v>112</v>
      </c>
      <c r="F282">
        <f>Table1[[#This Row],[Product weight]]*Table1[[#This Row],[Order Qty]]</f>
        <v>224</v>
      </c>
      <c r="G282">
        <f>Table1[[#This Row],[Weight per order (g)]]/1000</f>
        <v>0.224</v>
      </c>
      <c r="H282" s="1">
        <f>CEILING(Table1[[#This Row],[Weight per order (Kg)]],0.5)</f>
        <v>0.5</v>
      </c>
      <c r="I282" t="str">
        <f>_xlfn.XLOOKUP(Table1[[#This Row],[OrderID]],'Courier company invoice'!B:B,'Courier company invoice'!F:F)</f>
        <v>d</v>
      </c>
      <c r="J282" s="1" t="str">
        <f>_xlfn.XLOOKUP(Table1[[#This Row],[OrderID]],Table2[Order ID],Table2[Type of Shipment],"Not Found")</f>
        <v>Forward charges</v>
      </c>
      <c r="K282">
        <f>INDEX(Sheet1[],1,MATCH("fwd_"&amp;Table1[[#This Row],[Zone]]&amp;"_fixed",Sheet1[#Headers],0))</f>
        <v>45.4</v>
      </c>
      <c r="L282">
        <f>INDEX(Sheet1[],1,MATCH("fwd_"&amp;Table1[[#This Row],[Zone]]&amp;"_additional",Sheet1[#Headers],0))</f>
        <v>44.8</v>
      </c>
      <c r="M282" s="1">
        <f>(Table1[[#This Row],[Weight slab]]-0.5)/0.5</f>
        <v>0</v>
      </c>
      <c r="N282" s="1">
        <f>Table1[[#This Row],[Fixed_Charges]]+Table1[[#This Row],[No_of_Extra_slabs]]*Table1[[#This Row],[Additional_Charges]]</f>
        <v>45.4</v>
      </c>
      <c r="O282">
        <f>_xlfn.XLOOKUP(Table1[[#This Row],[OrderID]],'Courier company invoice'!B:B,'Courier company invoice'!H:H)</f>
        <v>179.8</v>
      </c>
      <c r="P282" s="1">
        <f>Table1[[#This Row],[Billing Amount]]-Table1[[#This Row],[Expected charges]]</f>
        <v>134.4</v>
      </c>
      <c r="Q282" s="1" t="str" cm="1">
        <f t="array" ref="Q28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83" spans="1:17" x14ac:dyDescent="0.3">
      <c r="A283" s="3" t="s">
        <v>88</v>
      </c>
      <c r="B283" s="2">
        <f>Table1[[#This Row],[Order ID]]*1</f>
        <v>2001807362</v>
      </c>
      <c r="C283" s="2">
        <v>8904223819031</v>
      </c>
      <c r="D283">
        <v>2</v>
      </c>
      <c r="E283">
        <f>_xlfn.XLOOKUP(Table1[[#This Row],[SKU (Product Code)]],'SKU Master'!A:A,'SKU Master'!B:B)</f>
        <v>112</v>
      </c>
      <c r="F283">
        <f>Table1[[#This Row],[Product weight]]*Table1[[#This Row],[Order Qty]]</f>
        <v>224</v>
      </c>
      <c r="G283">
        <f>Table1[[#This Row],[Weight per order (g)]]/1000</f>
        <v>0.224</v>
      </c>
      <c r="H283" s="1">
        <f>CEILING(Table1[[#This Row],[Weight per order (Kg)]],0.5)</f>
        <v>0.5</v>
      </c>
      <c r="I283" t="str">
        <f>_xlfn.XLOOKUP(Table1[[#This Row],[OrderID]],'Courier company invoice'!B:B,'Courier company invoice'!F:F)</f>
        <v>d</v>
      </c>
      <c r="J283" s="1" t="str">
        <f>_xlfn.XLOOKUP(Table1[[#This Row],[OrderID]],Table2[Order ID],Table2[Type of Shipment],"Not Found")</f>
        <v>Forward charges</v>
      </c>
      <c r="K283">
        <f>INDEX(Sheet1[],1,MATCH("fwd_"&amp;Table1[[#This Row],[Zone]]&amp;"_fixed",Sheet1[#Headers],0))</f>
        <v>45.4</v>
      </c>
      <c r="L283">
        <f>INDEX(Sheet1[],1,MATCH("fwd_"&amp;Table1[[#This Row],[Zone]]&amp;"_additional",Sheet1[#Headers],0))</f>
        <v>44.8</v>
      </c>
      <c r="M283" s="1">
        <f>(Table1[[#This Row],[Weight slab]]-0.5)/0.5</f>
        <v>0</v>
      </c>
      <c r="N283" s="1">
        <f>Table1[[#This Row],[Fixed_Charges]]+Table1[[#This Row],[No_of_Extra_slabs]]*Table1[[#This Row],[Additional_Charges]]</f>
        <v>45.4</v>
      </c>
      <c r="O283">
        <f>_xlfn.XLOOKUP(Table1[[#This Row],[OrderID]],'Courier company invoice'!B:B,'Courier company invoice'!H:H)</f>
        <v>179.8</v>
      </c>
      <c r="P283" s="1">
        <f>Table1[[#This Row],[Billing Amount]]-Table1[[#This Row],[Expected charges]]</f>
        <v>134.4</v>
      </c>
      <c r="Q283" s="1" t="str" cm="1">
        <f t="array" ref="Q28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84" spans="1:17" x14ac:dyDescent="0.3">
      <c r="A284" s="3" t="s">
        <v>88</v>
      </c>
      <c r="B284" s="2">
        <f>Table1[[#This Row],[Order ID]]*1</f>
        <v>2001807362</v>
      </c>
      <c r="C284" s="2">
        <v>8904223819024</v>
      </c>
      <c r="D284">
        <v>2</v>
      </c>
      <c r="E284">
        <f>_xlfn.XLOOKUP(Table1[[#This Row],[SKU (Product Code)]],'SKU Master'!A:A,'SKU Master'!B:B)</f>
        <v>112</v>
      </c>
      <c r="F284">
        <f>Table1[[#This Row],[Product weight]]*Table1[[#This Row],[Order Qty]]</f>
        <v>224</v>
      </c>
      <c r="G284">
        <f>Table1[[#This Row],[Weight per order (g)]]/1000</f>
        <v>0.224</v>
      </c>
      <c r="H284" s="1">
        <f>CEILING(Table1[[#This Row],[Weight per order (Kg)]],0.5)</f>
        <v>0.5</v>
      </c>
      <c r="I284" t="str">
        <f>_xlfn.XLOOKUP(Table1[[#This Row],[OrderID]],'Courier company invoice'!B:B,'Courier company invoice'!F:F)</f>
        <v>d</v>
      </c>
      <c r="J284" s="1" t="str">
        <f>_xlfn.XLOOKUP(Table1[[#This Row],[OrderID]],Table2[Order ID],Table2[Type of Shipment],"Not Found")</f>
        <v>Forward charges</v>
      </c>
      <c r="K284">
        <f>INDEX(Sheet1[],1,MATCH("fwd_"&amp;Table1[[#This Row],[Zone]]&amp;"_fixed",Sheet1[#Headers],0))</f>
        <v>45.4</v>
      </c>
      <c r="L284">
        <f>INDEX(Sheet1[],1,MATCH("fwd_"&amp;Table1[[#This Row],[Zone]]&amp;"_additional",Sheet1[#Headers],0))</f>
        <v>44.8</v>
      </c>
      <c r="M284" s="1">
        <f>(Table1[[#This Row],[Weight slab]]-0.5)/0.5</f>
        <v>0</v>
      </c>
      <c r="N284" s="1">
        <f>Table1[[#This Row],[Fixed_Charges]]+Table1[[#This Row],[No_of_Extra_slabs]]*Table1[[#This Row],[Additional_Charges]]</f>
        <v>45.4</v>
      </c>
      <c r="O284">
        <f>_xlfn.XLOOKUP(Table1[[#This Row],[OrderID]],'Courier company invoice'!B:B,'Courier company invoice'!H:H)</f>
        <v>179.8</v>
      </c>
      <c r="P284" s="1">
        <f>Table1[[#This Row],[Billing Amount]]-Table1[[#This Row],[Expected charges]]</f>
        <v>134.4</v>
      </c>
      <c r="Q284" s="1" t="str" cm="1">
        <f t="array" ref="Q28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85" spans="1:17" x14ac:dyDescent="0.3">
      <c r="A285" s="3" t="s">
        <v>89</v>
      </c>
      <c r="B285" s="2">
        <f>Table1[[#This Row],[Order ID]]*1</f>
        <v>2001807329</v>
      </c>
      <c r="C285" s="2">
        <v>8904223818706</v>
      </c>
      <c r="D285">
        <v>1</v>
      </c>
      <c r="E285">
        <f>_xlfn.XLOOKUP(Table1[[#This Row],[SKU (Product Code)]],'SKU Master'!A:A,'SKU Master'!B:B)</f>
        <v>127</v>
      </c>
      <c r="F285">
        <f>Table1[[#This Row],[Product weight]]*Table1[[#This Row],[Order Qty]]</f>
        <v>127</v>
      </c>
      <c r="G285">
        <f>Table1[[#This Row],[Weight per order (g)]]/1000</f>
        <v>0.127</v>
      </c>
      <c r="H285" s="1">
        <f>CEILING(Table1[[#This Row],[Weight per order (Kg)]],0.5)</f>
        <v>0.5</v>
      </c>
      <c r="I285" t="str">
        <f>_xlfn.XLOOKUP(Table1[[#This Row],[OrderID]],'Courier company invoice'!B:B,'Courier company invoice'!F:F)</f>
        <v>d</v>
      </c>
      <c r="J285" s="1" t="str">
        <f>_xlfn.XLOOKUP(Table1[[#This Row],[OrderID]],Table2[Order ID],Table2[Type of Shipment],"Not Found")</f>
        <v>Forward charges</v>
      </c>
      <c r="K285">
        <f>INDEX(Sheet1[],1,MATCH("fwd_"&amp;Table1[[#This Row],[Zone]]&amp;"_fixed",Sheet1[#Headers],0))</f>
        <v>45.4</v>
      </c>
      <c r="L285">
        <f>INDEX(Sheet1[],1,MATCH("fwd_"&amp;Table1[[#This Row],[Zone]]&amp;"_additional",Sheet1[#Headers],0))</f>
        <v>44.8</v>
      </c>
      <c r="M285" s="1">
        <f>(Table1[[#This Row],[Weight slab]]-0.5)/0.5</f>
        <v>0</v>
      </c>
      <c r="N285" s="1">
        <f>Table1[[#This Row],[Fixed_Charges]]+Table1[[#This Row],[No_of_Extra_slabs]]*Table1[[#This Row],[Additional_Charges]]</f>
        <v>45.4</v>
      </c>
      <c r="O285">
        <f>_xlfn.XLOOKUP(Table1[[#This Row],[OrderID]],'Courier company invoice'!B:B,'Courier company invoice'!H:H)</f>
        <v>90.2</v>
      </c>
      <c r="P285" s="1">
        <f>Table1[[#This Row],[Billing Amount]]-Table1[[#This Row],[Expected charges]]</f>
        <v>44.800000000000004</v>
      </c>
      <c r="Q285" s="1" t="str" cm="1">
        <f t="array" ref="Q28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86" spans="1:17" x14ac:dyDescent="0.3">
      <c r="A286" s="3" t="s">
        <v>89</v>
      </c>
      <c r="B286" s="2">
        <f>Table1[[#This Row],[Order ID]]*1</f>
        <v>2001807329</v>
      </c>
      <c r="C286" s="2">
        <v>8904223818942</v>
      </c>
      <c r="D286">
        <v>1</v>
      </c>
      <c r="E286">
        <f>_xlfn.XLOOKUP(Table1[[#This Row],[SKU (Product Code)]],'SKU Master'!A:A,'SKU Master'!B:B)</f>
        <v>133</v>
      </c>
      <c r="F286">
        <f>Table1[[#This Row],[Product weight]]*Table1[[#This Row],[Order Qty]]</f>
        <v>133</v>
      </c>
      <c r="G286">
        <f>Table1[[#This Row],[Weight per order (g)]]/1000</f>
        <v>0.13300000000000001</v>
      </c>
      <c r="H286" s="1">
        <f>CEILING(Table1[[#This Row],[Weight per order (Kg)]],0.5)</f>
        <v>0.5</v>
      </c>
      <c r="I286" t="str">
        <f>_xlfn.XLOOKUP(Table1[[#This Row],[OrderID]],'Courier company invoice'!B:B,'Courier company invoice'!F:F)</f>
        <v>d</v>
      </c>
      <c r="J286" s="1" t="str">
        <f>_xlfn.XLOOKUP(Table1[[#This Row],[OrderID]],Table2[Order ID],Table2[Type of Shipment],"Not Found")</f>
        <v>Forward charges</v>
      </c>
      <c r="K286">
        <f>INDEX(Sheet1[],1,MATCH("fwd_"&amp;Table1[[#This Row],[Zone]]&amp;"_fixed",Sheet1[#Headers],0))</f>
        <v>45.4</v>
      </c>
      <c r="L286">
        <f>INDEX(Sheet1[],1,MATCH("fwd_"&amp;Table1[[#This Row],[Zone]]&amp;"_additional",Sheet1[#Headers],0))</f>
        <v>44.8</v>
      </c>
      <c r="M286" s="1">
        <f>(Table1[[#This Row],[Weight slab]]-0.5)/0.5</f>
        <v>0</v>
      </c>
      <c r="N286" s="1">
        <f>Table1[[#This Row],[Fixed_Charges]]+Table1[[#This Row],[No_of_Extra_slabs]]*Table1[[#This Row],[Additional_Charges]]</f>
        <v>45.4</v>
      </c>
      <c r="O286">
        <f>_xlfn.XLOOKUP(Table1[[#This Row],[OrderID]],'Courier company invoice'!B:B,'Courier company invoice'!H:H)</f>
        <v>90.2</v>
      </c>
      <c r="P286" s="1">
        <f>Table1[[#This Row],[Billing Amount]]-Table1[[#This Row],[Expected charges]]</f>
        <v>44.800000000000004</v>
      </c>
      <c r="Q286" s="1" t="str" cm="1">
        <f t="array" ref="Q28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87" spans="1:17" x14ac:dyDescent="0.3">
      <c r="A287" s="3" t="s">
        <v>89</v>
      </c>
      <c r="B287" s="2">
        <f>Table1[[#This Row],[Order ID]]*1</f>
        <v>2001807329</v>
      </c>
      <c r="C287" s="2">
        <v>8904223818850</v>
      </c>
      <c r="D287">
        <v>1</v>
      </c>
      <c r="E287">
        <f>_xlfn.XLOOKUP(Table1[[#This Row],[SKU (Product Code)]],'SKU Master'!A:A,'SKU Master'!B:B)</f>
        <v>240</v>
      </c>
      <c r="F287">
        <f>Table1[[#This Row],[Product weight]]*Table1[[#This Row],[Order Qty]]</f>
        <v>240</v>
      </c>
      <c r="G287">
        <f>Table1[[#This Row],[Weight per order (g)]]/1000</f>
        <v>0.24</v>
      </c>
      <c r="H287" s="1">
        <f>CEILING(Table1[[#This Row],[Weight per order (Kg)]],0.5)</f>
        <v>0.5</v>
      </c>
      <c r="I287" t="str">
        <f>_xlfn.XLOOKUP(Table1[[#This Row],[OrderID]],'Courier company invoice'!B:B,'Courier company invoice'!F:F)</f>
        <v>d</v>
      </c>
      <c r="J287" s="1" t="str">
        <f>_xlfn.XLOOKUP(Table1[[#This Row],[OrderID]],Table2[Order ID],Table2[Type of Shipment],"Not Found")</f>
        <v>Forward charges</v>
      </c>
      <c r="K287">
        <f>INDEX(Sheet1[],1,MATCH("fwd_"&amp;Table1[[#This Row],[Zone]]&amp;"_fixed",Sheet1[#Headers],0))</f>
        <v>45.4</v>
      </c>
      <c r="L287">
        <f>INDEX(Sheet1[],1,MATCH("fwd_"&amp;Table1[[#This Row],[Zone]]&amp;"_additional",Sheet1[#Headers],0))</f>
        <v>44.8</v>
      </c>
      <c r="M287" s="1">
        <f>(Table1[[#This Row],[Weight slab]]-0.5)/0.5</f>
        <v>0</v>
      </c>
      <c r="N287" s="1">
        <f>Table1[[#This Row],[Fixed_Charges]]+Table1[[#This Row],[No_of_Extra_slabs]]*Table1[[#This Row],[Additional_Charges]]</f>
        <v>45.4</v>
      </c>
      <c r="O287">
        <f>_xlfn.XLOOKUP(Table1[[#This Row],[OrderID]],'Courier company invoice'!B:B,'Courier company invoice'!H:H)</f>
        <v>90.2</v>
      </c>
      <c r="P287" s="1">
        <f>Table1[[#This Row],[Billing Amount]]-Table1[[#This Row],[Expected charges]]</f>
        <v>44.800000000000004</v>
      </c>
      <c r="Q287" s="1" t="str" cm="1">
        <f t="array" ref="Q28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88" spans="1:17" x14ac:dyDescent="0.3">
      <c r="A288" s="3" t="s">
        <v>90</v>
      </c>
      <c r="B288" s="2">
        <f>Table1[[#This Row],[Order ID]]*1</f>
        <v>2001807328</v>
      </c>
      <c r="C288" s="2">
        <v>8904223818997</v>
      </c>
      <c r="D288">
        <v>1</v>
      </c>
      <c r="E288">
        <f>_xlfn.XLOOKUP(Table1[[#This Row],[SKU (Product Code)]],'SKU Master'!A:A,'SKU Master'!B:B)</f>
        <v>490</v>
      </c>
      <c r="F288">
        <f>Table1[[#This Row],[Product weight]]*Table1[[#This Row],[Order Qty]]</f>
        <v>490</v>
      </c>
      <c r="G288">
        <f>Table1[[#This Row],[Weight per order (g)]]/1000</f>
        <v>0.49</v>
      </c>
      <c r="H288" s="1">
        <f>CEILING(Table1[[#This Row],[Weight per order (Kg)]],0.5)</f>
        <v>0.5</v>
      </c>
      <c r="I288" t="str">
        <f>_xlfn.XLOOKUP(Table1[[#This Row],[OrderID]],'Courier company invoice'!B:B,'Courier company invoice'!F:F)</f>
        <v>d</v>
      </c>
      <c r="J288" s="1" t="str">
        <f>_xlfn.XLOOKUP(Table1[[#This Row],[OrderID]],Table2[Order ID],Table2[Type of Shipment],"Not Found")</f>
        <v>Forward charges</v>
      </c>
      <c r="K288">
        <f>INDEX(Sheet1[],1,MATCH("fwd_"&amp;Table1[[#This Row],[Zone]]&amp;"_fixed",Sheet1[#Headers],0))</f>
        <v>45.4</v>
      </c>
      <c r="L288">
        <f>INDEX(Sheet1[],1,MATCH("fwd_"&amp;Table1[[#This Row],[Zone]]&amp;"_additional",Sheet1[#Headers],0))</f>
        <v>44.8</v>
      </c>
      <c r="M288" s="1">
        <f>(Table1[[#This Row],[Weight slab]]-0.5)/0.5</f>
        <v>0</v>
      </c>
      <c r="N288" s="1">
        <f>Table1[[#This Row],[Fixed_Charges]]+Table1[[#This Row],[No_of_Extra_slabs]]*Table1[[#This Row],[Additional_Charges]]</f>
        <v>45.4</v>
      </c>
      <c r="O288">
        <f>_xlfn.XLOOKUP(Table1[[#This Row],[OrderID]],'Courier company invoice'!B:B,'Courier company invoice'!H:H)</f>
        <v>224.6</v>
      </c>
      <c r="P288" s="1">
        <f>Table1[[#This Row],[Billing Amount]]-Table1[[#This Row],[Expected charges]]</f>
        <v>179.2</v>
      </c>
      <c r="Q288" s="1" t="str" cm="1">
        <f t="array" ref="Q28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89" spans="1:17" x14ac:dyDescent="0.3">
      <c r="A289" s="3" t="s">
        <v>91</v>
      </c>
      <c r="B289" s="2">
        <f>Table1[[#This Row],[Order ID]]*1</f>
        <v>2001807290</v>
      </c>
      <c r="C289" s="2">
        <v>8904223818706</v>
      </c>
      <c r="D289">
        <v>1</v>
      </c>
      <c r="E289">
        <f>_xlfn.XLOOKUP(Table1[[#This Row],[SKU (Product Code)]],'SKU Master'!A:A,'SKU Master'!B:B)</f>
        <v>127</v>
      </c>
      <c r="F289">
        <f>Table1[[#This Row],[Product weight]]*Table1[[#This Row],[Order Qty]]</f>
        <v>127</v>
      </c>
      <c r="G289">
        <f>Table1[[#This Row],[Weight per order (g)]]/1000</f>
        <v>0.127</v>
      </c>
      <c r="H289" s="1">
        <f>CEILING(Table1[[#This Row],[Weight per order (Kg)]],0.5)</f>
        <v>0.5</v>
      </c>
      <c r="I289" t="str">
        <f>_xlfn.XLOOKUP(Table1[[#This Row],[OrderID]],'Courier company invoice'!B:B,'Courier company invoice'!F:F)</f>
        <v>d</v>
      </c>
      <c r="J289" s="1" t="str">
        <f>_xlfn.XLOOKUP(Table1[[#This Row],[OrderID]],Table2[Order ID],Table2[Type of Shipment],"Not Found")</f>
        <v>Forward charges</v>
      </c>
      <c r="K289">
        <f>INDEX(Sheet1[],1,MATCH("fwd_"&amp;Table1[[#This Row],[Zone]]&amp;"_fixed",Sheet1[#Headers],0))</f>
        <v>45.4</v>
      </c>
      <c r="L289">
        <f>INDEX(Sheet1[],1,MATCH("fwd_"&amp;Table1[[#This Row],[Zone]]&amp;"_additional",Sheet1[#Headers],0))</f>
        <v>44.8</v>
      </c>
      <c r="M289" s="1">
        <f>(Table1[[#This Row],[Weight slab]]-0.5)/0.5</f>
        <v>0</v>
      </c>
      <c r="N289" s="1">
        <f>Table1[[#This Row],[Fixed_Charges]]+Table1[[#This Row],[No_of_Extra_slabs]]*Table1[[#This Row],[Additional_Charges]]</f>
        <v>45.4</v>
      </c>
      <c r="O289">
        <f>_xlfn.XLOOKUP(Table1[[#This Row],[OrderID]],'Courier company invoice'!B:B,'Courier company invoice'!H:H)</f>
        <v>45.4</v>
      </c>
      <c r="P289" s="1">
        <f>Table1[[#This Row],[Billing Amount]]-Table1[[#This Row],[Expected charges]]</f>
        <v>0</v>
      </c>
      <c r="Q289" s="1" t="str" cm="1">
        <f t="array" ref="Q28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290" spans="1:17" x14ac:dyDescent="0.3">
      <c r="A290" s="3" t="s">
        <v>91</v>
      </c>
      <c r="B290" s="2">
        <f>Table1[[#This Row],[Order ID]]*1</f>
        <v>2001807290</v>
      </c>
      <c r="C290" s="2">
        <v>8904223818942</v>
      </c>
      <c r="D290">
        <v>1</v>
      </c>
      <c r="E290">
        <f>_xlfn.XLOOKUP(Table1[[#This Row],[SKU (Product Code)]],'SKU Master'!A:A,'SKU Master'!B:B)</f>
        <v>133</v>
      </c>
      <c r="F290">
        <f>Table1[[#This Row],[Product weight]]*Table1[[#This Row],[Order Qty]]</f>
        <v>133</v>
      </c>
      <c r="G290">
        <f>Table1[[#This Row],[Weight per order (g)]]/1000</f>
        <v>0.13300000000000001</v>
      </c>
      <c r="H290" s="1">
        <f>CEILING(Table1[[#This Row],[Weight per order (Kg)]],0.5)</f>
        <v>0.5</v>
      </c>
      <c r="I290" t="str">
        <f>_xlfn.XLOOKUP(Table1[[#This Row],[OrderID]],'Courier company invoice'!B:B,'Courier company invoice'!F:F)</f>
        <v>d</v>
      </c>
      <c r="J290" s="1" t="str">
        <f>_xlfn.XLOOKUP(Table1[[#This Row],[OrderID]],Table2[Order ID],Table2[Type of Shipment],"Not Found")</f>
        <v>Forward charges</v>
      </c>
      <c r="K290">
        <f>INDEX(Sheet1[],1,MATCH("fwd_"&amp;Table1[[#This Row],[Zone]]&amp;"_fixed",Sheet1[#Headers],0))</f>
        <v>45.4</v>
      </c>
      <c r="L290">
        <f>INDEX(Sheet1[],1,MATCH("fwd_"&amp;Table1[[#This Row],[Zone]]&amp;"_additional",Sheet1[#Headers],0))</f>
        <v>44.8</v>
      </c>
      <c r="M290" s="1">
        <f>(Table1[[#This Row],[Weight slab]]-0.5)/0.5</f>
        <v>0</v>
      </c>
      <c r="N290" s="1">
        <f>Table1[[#This Row],[Fixed_Charges]]+Table1[[#This Row],[No_of_Extra_slabs]]*Table1[[#This Row],[Additional_Charges]]</f>
        <v>45.4</v>
      </c>
      <c r="O290">
        <f>_xlfn.XLOOKUP(Table1[[#This Row],[OrderID]],'Courier company invoice'!B:B,'Courier company invoice'!H:H)</f>
        <v>45.4</v>
      </c>
      <c r="P290" s="1">
        <f>Table1[[#This Row],[Billing Amount]]-Table1[[#This Row],[Expected charges]]</f>
        <v>0</v>
      </c>
      <c r="Q290" s="1" t="str" cm="1">
        <f t="array" ref="Q29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291" spans="1:17" x14ac:dyDescent="0.3">
      <c r="A291" s="3" t="s">
        <v>91</v>
      </c>
      <c r="B291" s="2">
        <f>Table1[[#This Row],[Order ID]]*1</f>
        <v>2001807290</v>
      </c>
      <c r="C291" s="2">
        <v>8904223818850</v>
      </c>
      <c r="D291">
        <v>1</v>
      </c>
      <c r="E291">
        <f>_xlfn.XLOOKUP(Table1[[#This Row],[SKU (Product Code)]],'SKU Master'!A:A,'SKU Master'!B:B)</f>
        <v>240</v>
      </c>
      <c r="F291">
        <f>Table1[[#This Row],[Product weight]]*Table1[[#This Row],[Order Qty]]</f>
        <v>240</v>
      </c>
      <c r="G291">
        <f>Table1[[#This Row],[Weight per order (g)]]/1000</f>
        <v>0.24</v>
      </c>
      <c r="H291" s="1">
        <f>CEILING(Table1[[#This Row],[Weight per order (Kg)]],0.5)</f>
        <v>0.5</v>
      </c>
      <c r="I291" t="str">
        <f>_xlfn.XLOOKUP(Table1[[#This Row],[OrderID]],'Courier company invoice'!B:B,'Courier company invoice'!F:F)</f>
        <v>d</v>
      </c>
      <c r="J291" s="1" t="str">
        <f>_xlfn.XLOOKUP(Table1[[#This Row],[OrderID]],Table2[Order ID],Table2[Type of Shipment],"Not Found")</f>
        <v>Forward charges</v>
      </c>
      <c r="K291">
        <f>INDEX(Sheet1[],1,MATCH("fwd_"&amp;Table1[[#This Row],[Zone]]&amp;"_fixed",Sheet1[#Headers],0))</f>
        <v>45.4</v>
      </c>
      <c r="L291">
        <f>INDEX(Sheet1[],1,MATCH("fwd_"&amp;Table1[[#This Row],[Zone]]&amp;"_additional",Sheet1[#Headers],0))</f>
        <v>44.8</v>
      </c>
      <c r="M291" s="1">
        <f>(Table1[[#This Row],[Weight slab]]-0.5)/0.5</f>
        <v>0</v>
      </c>
      <c r="N291" s="1">
        <f>Table1[[#This Row],[Fixed_Charges]]+Table1[[#This Row],[No_of_Extra_slabs]]*Table1[[#This Row],[Additional_Charges]]</f>
        <v>45.4</v>
      </c>
      <c r="O291">
        <f>_xlfn.XLOOKUP(Table1[[#This Row],[OrderID]],'Courier company invoice'!B:B,'Courier company invoice'!H:H)</f>
        <v>45.4</v>
      </c>
      <c r="P291" s="1">
        <f>Table1[[#This Row],[Billing Amount]]-Table1[[#This Row],[Expected charges]]</f>
        <v>0</v>
      </c>
      <c r="Q291" s="1" t="str" cm="1">
        <f t="array" ref="Q29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292" spans="1:17" x14ac:dyDescent="0.3">
      <c r="A292" s="3" t="s">
        <v>92</v>
      </c>
      <c r="B292" s="2">
        <f>Table1[[#This Row],[Order ID]]*1</f>
        <v>2001807241</v>
      </c>
      <c r="C292" s="2">
        <v>8904223818706</v>
      </c>
      <c r="D292">
        <v>1</v>
      </c>
      <c r="E292">
        <f>_xlfn.XLOOKUP(Table1[[#This Row],[SKU (Product Code)]],'SKU Master'!A:A,'SKU Master'!B:B)</f>
        <v>127</v>
      </c>
      <c r="F292">
        <f>Table1[[#This Row],[Product weight]]*Table1[[#This Row],[Order Qty]]</f>
        <v>127</v>
      </c>
      <c r="G292">
        <f>Table1[[#This Row],[Weight per order (g)]]/1000</f>
        <v>0.127</v>
      </c>
      <c r="H292" s="1">
        <f>CEILING(Table1[[#This Row],[Weight per order (Kg)]],0.5)</f>
        <v>0.5</v>
      </c>
      <c r="I292" t="str">
        <f>_xlfn.XLOOKUP(Table1[[#This Row],[OrderID]],'Courier company invoice'!B:B,'Courier company invoice'!F:F)</f>
        <v>d</v>
      </c>
      <c r="J292" s="1" t="str">
        <f>_xlfn.XLOOKUP(Table1[[#This Row],[OrderID]],Table2[Order ID],Table2[Type of Shipment],"Not Found")</f>
        <v>Forward charges</v>
      </c>
      <c r="K292">
        <f>INDEX(Sheet1[],1,MATCH("fwd_"&amp;Table1[[#This Row],[Zone]]&amp;"_fixed",Sheet1[#Headers],0))</f>
        <v>45.4</v>
      </c>
      <c r="L292">
        <f>INDEX(Sheet1[],1,MATCH("fwd_"&amp;Table1[[#This Row],[Zone]]&amp;"_additional",Sheet1[#Headers],0))</f>
        <v>44.8</v>
      </c>
      <c r="M292" s="1">
        <f>(Table1[[#This Row],[Weight slab]]-0.5)/0.5</f>
        <v>0</v>
      </c>
      <c r="N292" s="1">
        <f>Table1[[#This Row],[Fixed_Charges]]+Table1[[#This Row],[No_of_Extra_slabs]]*Table1[[#This Row],[Additional_Charges]]</f>
        <v>45.4</v>
      </c>
      <c r="O292">
        <f>_xlfn.XLOOKUP(Table1[[#This Row],[OrderID]],'Courier company invoice'!B:B,'Courier company invoice'!H:H)</f>
        <v>90.2</v>
      </c>
      <c r="P292" s="1">
        <f>Table1[[#This Row],[Billing Amount]]-Table1[[#This Row],[Expected charges]]</f>
        <v>44.800000000000004</v>
      </c>
      <c r="Q292" s="1" t="str" cm="1">
        <f t="array" ref="Q29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93" spans="1:17" x14ac:dyDescent="0.3">
      <c r="A293" s="3" t="s">
        <v>92</v>
      </c>
      <c r="B293" s="2">
        <f>Table1[[#This Row],[Order ID]]*1</f>
        <v>2001807241</v>
      </c>
      <c r="C293" s="2">
        <v>8904223818850</v>
      </c>
      <c r="D293">
        <v>1</v>
      </c>
      <c r="E293">
        <f>_xlfn.XLOOKUP(Table1[[#This Row],[SKU (Product Code)]],'SKU Master'!A:A,'SKU Master'!B:B)</f>
        <v>240</v>
      </c>
      <c r="F293">
        <f>Table1[[#This Row],[Product weight]]*Table1[[#This Row],[Order Qty]]</f>
        <v>240</v>
      </c>
      <c r="G293">
        <f>Table1[[#This Row],[Weight per order (g)]]/1000</f>
        <v>0.24</v>
      </c>
      <c r="H293" s="1">
        <f>CEILING(Table1[[#This Row],[Weight per order (Kg)]],0.5)</f>
        <v>0.5</v>
      </c>
      <c r="I293" t="str">
        <f>_xlfn.XLOOKUP(Table1[[#This Row],[OrderID]],'Courier company invoice'!B:B,'Courier company invoice'!F:F)</f>
        <v>d</v>
      </c>
      <c r="J293" s="1" t="str">
        <f>_xlfn.XLOOKUP(Table1[[#This Row],[OrderID]],Table2[Order ID],Table2[Type of Shipment],"Not Found")</f>
        <v>Forward charges</v>
      </c>
      <c r="K293">
        <f>INDEX(Sheet1[],1,MATCH("fwd_"&amp;Table1[[#This Row],[Zone]]&amp;"_fixed",Sheet1[#Headers],0))</f>
        <v>45.4</v>
      </c>
      <c r="L293">
        <f>INDEX(Sheet1[],1,MATCH("fwd_"&amp;Table1[[#This Row],[Zone]]&amp;"_additional",Sheet1[#Headers],0))</f>
        <v>44.8</v>
      </c>
      <c r="M293" s="1">
        <f>(Table1[[#This Row],[Weight slab]]-0.5)/0.5</f>
        <v>0</v>
      </c>
      <c r="N293" s="1">
        <f>Table1[[#This Row],[Fixed_Charges]]+Table1[[#This Row],[No_of_Extra_slabs]]*Table1[[#This Row],[Additional_Charges]]</f>
        <v>45.4</v>
      </c>
      <c r="O293">
        <f>_xlfn.XLOOKUP(Table1[[#This Row],[OrderID]],'Courier company invoice'!B:B,'Courier company invoice'!H:H)</f>
        <v>90.2</v>
      </c>
      <c r="P293" s="1">
        <f>Table1[[#This Row],[Billing Amount]]-Table1[[#This Row],[Expected charges]]</f>
        <v>44.800000000000004</v>
      </c>
      <c r="Q293" s="1" t="str" cm="1">
        <f t="array" ref="Q29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94" spans="1:17" x14ac:dyDescent="0.3">
      <c r="A294" s="3" t="s">
        <v>92</v>
      </c>
      <c r="B294" s="2">
        <f>Table1[[#This Row],[Order ID]]*1</f>
        <v>2001807241</v>
      </c>
      <c r="C294" s="2">
        <v>8904223819468</v>
      </c>
      <c r="D294">
        <v>1</v>
      </c>
      <c r="E294">
        <f>_xlfn.XLOOKUP(Table1[[#This Row],[SKU (Product Code)]],'SKU Master'!A:A,'SKU Master'!B:B)</f>
        <v>240</v>
      </c>
      <c r="F294">
        <f>Table1[[#This Row],[Product weight]]*Table1[[#This Row],[Order Qty]]</f>
        <v>240</v>
      </c>
      <c r="G294">
        <f>Table1[[#This Row],[Weight per order (g)]]/1000</f>
        <v>0.24</v>
      </c>
      <c r="H294" s="1">
        <f>CEILING(Table1[[#This Row],[Weight per order (Kg)]],0.5)</f>
        <v>0.5</v>
      </c>
      <c r="I294" t="str">
        <f>_xlfn.XLOOKUP(Table1[[#This Row],[OrderID]],'Courier company invoice'!B:B,'Courier company invoice'!F:F)</f>
        <v>d</v>
      </c>
      <c r="J294" s="1" t="str">
        <f>_xlfn.XLOOKUP(Table1[[#This Row],[OrderID]],Table2[Order ID],Table2[Type of Shipment],"Not Found")</f>
        <v>Forward charges</v>
      </c>
      <c r="K294">
        <f>INDEX(Sheet1[],1,MATCH("fwd_"&amp;Table1[[#This Row],[Zone]]&amp;"_fixed",Sheet1[#Headers],0))</f>
        <v>45.4</v>
      </c>
      <c r="L294">
        <f>INDEX(Sheet1[],1,MATCH("fwd_"&amp;Table1[[#This Row],[Zone]]&amp;"_additional",Sheet1[#Headers],0))</f>
        <v>44.8</v>
      </c>
      <c r="M294" s="1">
        <f>(Table1[[#This Row],[Weight slab]]-0.5)/0.5</f>
        <v>0</v>
      </c>
      <c r="N294" s="1">
        <f>Table1[[#This Row],[Fixed_Charges]]+Table1[[#This Row],[No_of_Extra_slabs]]*Table1[[#This Row],[Additional_Charges]]</f>
        <v>45.4</v>
      </c>
      <c r="O294">
        <f>_xlfn.XLOOKUP(Table1[[#This Row],[OrderID]],'Courier company invoice'!B:B,'Courier company invoice'!H:H)</f>
        <v>90.2</v>
      </c>
      <c r="P294" s="1">
        <f>Table1[[#This Row],[Billing Amount]]-Table1[[#This Row],[Expected charges]]</f>
        <v>44.800000000000004</v>
      </c>
      <c r="Q294" s="1" t="str" cm="1">
        <f t="array" ref="Q29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95" spans="1:17" x14ac:dyDescent="0.3">
      <c r="A295" s="3" t="s">
        <v>93</v>
      </c>
      <c r="B295" s="2">
        <f>Table1[[#This Row],[Order ID]]*1</f>
        <v>2001807186</v>
      </c>
      <c r="C295" s="2">
        <v>8904223818706</v>
      </c>
      <c r="D295">
        <v>1</v>
      </c>
      <c r="E295">
        <f>_xlfn.XLOOKUP(Table1[[#This Row],[SKU (Product Code)]],'SKU Master'!A:A,'SKU Master'!B:B)</f>
        <v>127</v>
      </c>
      <c r="F295">
        <f>Table1[[#This Row],[Product weight]]*Table1[[#This Row],[Order Qty]]</f>
        <v>127</v>
      </c>
      <c r="G295">
        <f>Table1[[#This Row],[Weight per order (g)]]/1000</f>
        <v>0.127</v>
      </c>
      <c r="H295" s="1">
        <f>CEILING(Table1[[#This Row],[Weight per order (Kg)]],0.5)</f>
        <v>0.5</v>
      </c>
      <c r="I295" t="str">
        <f>_xlfn.XLOOKUP(Table1[[#This Row],[OrderID]],'Courier company invoice'!B:B,'Courier company invoice'!F:F)</f>
        <v>d</v>
      </c>
      <c r="J295" s="1" t="str">
        <f>_xlfn.XLOOKUP(Table1[[#This Row],[OrderID]],Table2[Order ID],Table2[Type of Shipment],"Not Found")</f>
        <v>Forward charges</v>
      </c>
      <c r="K295">
        <f>INDEX(Sheet1[],1,MATCH("fwd_"&amp;Table1[[#This Row],[Zone]]&amp;"_fixed",Sheet1[#Headers],0))</f>
        <v>45.4</v>
      </c>
      <c r="L295">
        <f>INDEX(Sheet1[],1,MATCH("fwd_"&amp;Table1[[#This Row],[Zone]]&amp;"_additional",Sheet1[#Headers],0))</f>
        <v>44.8</v>
      </c>
      <c r="M295" s="1">
        <f>(Table1[[#This Row],[Weight slab]]-0.5)/0.5</f>
        <v>0</v>
      </c>
      <c r="N295" s="1">
        <f>Table1[[#This Row],[Fixed_Charges]]+Table1[[#This Row],[No_of_Extra_slabs]]*Table1[[#This Row],[Additional_Charges]]</f>
        <v>45.4</v>
      </c>
      <c r="O295">
        <f>_xlfn.XLOOKUP(Table1[[#This Row],[OrderID]],'Courier company invoice'!B:B,'Courier company invoice'!H:H)</f>
        <v>45.4</v>
      </c>
      <c r="P295" s="1">
        <f>Table1[[#This Row],[Billing Amount]]-Table1[[#This Row],[Expected charges]]</f>
        <v>0</v>
      </c>
      <c r="Q295" s="1" t="str" cm="1">
        <f t="array" ref="Q29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296" spans="1:17" x14ac:dyDescent="0.3">
      <c r="A296" s="3" t="s">
        <v>93</v>
      </c>
      <c r="B296" s="2">
        <f>Table1[[#This Row],[Order ID]]*1</f>
        <v>2001807186</v>
      </c>
      <c r="C296" s="2">
        <v>8904223818942</v>
      </c>
      <c r="D296">
        <v>1</v>
      </c>
      <c r="E296">
        <f>_xlfn.XLOOKUP(Table1[[#This Row],[SKU (Product Code)]],'SKU Master'!A:A,'SKU Master'!B:B)</f>
        <v>133</v>
      </c>
      <c r="F296">
        <f>Table1[[#This Row],[Product weight]]*Table1[[#This Row],[Order Qty]]</f>
        <v>133</v>
      </c>
      <c r="G296">
        <f>Table1[[#This Row],[Weight per order (g)]]/1000</f>
        <v>0.13300000000000001</v>
      </c>
      <c r="H296" s="1">
        <f>CEILING(Table1[[#This Row],[Weight per order (Kg)]],0.5)</f>
        <v>0.5</v>
      </c>
      <c r="I296" t="str">
        <f>_xlfn.XLOOKUP(Table1[[#This Row],[OrderID]],'Courier company invoice'!B:B,'Courier company invoice'!F:F)</f>
        <v>d</v>
      </c>
      <c r="J296" s="1" t="str">
        <f>_xlfn.XLOOKUP(Table1[[#This Row],[OrderID]],Table2[Order ID],Table2[Type of Shipment],"Not Found")</f>
        <v>Forward charges</v>
      </c>
      <c r="K296">
        <f>INDEX(Sheet1[],1,MATCH("fwd_"&amp;Table1[[#This Row],[Zone]]&amp;"_fixed",Sheet1[#Headers],0))</f>
        <v>45.4</v>
      </c>
      <c r="L296">
        <f>INDEX(Sheet1[],1,MATCH("fwd_"&amp;Table1[[#This Row],[Zone]]&amp;"_additional",Sheet1[#Headers],0))</f>
        <v>44.8</v>
      </c>
      <c r="M296" s="1">
        <f>(Table1[[#This Row],[Weight slab]]-0.5)/0.5</f>
        <v>0</v>
      </c>
      <c r="N296" s="1">
        <f>Table1[[#This Row],[Fixed_Charges]]+Table1[[#This Row],[No_of_Extra_slabs]]*Table1[[#This Row],[Additional_Charges]]</f>
        <v>45.4</v>
      </c>
      <c r="O296">
        <f>_xlfn.XLOOKUP(Table1[[#This Row],[OrderID]],'Courier company invoice'!B:B,'Courier company invoice'!H:H)</f>
        <v>45.4</v>
      </c>
      <c r="P296" s="1">
        <f>Table1[[#This Row],[Billing Amount]]-Table1[[#This Row],[Expected charges]]</f>
        <v>0</v>
      </c>
      <c r="Q296" s="1" t="str" cm="1">
        <f t="array" ref="Q29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297" spans="1:17" x14ac:dyDescent="0.3">
      <c r="A297" s="3" t="s">
        <v>93</v>
      </c>
      <c r="B297" s="2">
        <f>Table1[[#This Row],[Order ID]]*1</f>
        <v>2001807186</v>
      </c>
      <c r="C297" s="2">
        <v>8904223818850</v>
      </c>
      <c r="D297">
        <v>1</v>
      </c>
      <c r="E297">
        <f>_xlfn.XLOOKUP(Table1[[#This Row],[SKU (Product Code)]],'SKU Master'!A:A,'SKU Master'!B:B)</f>
        <v>240</v>
      </c>
      <c r="F297">
        <f>Table1[[#This Row],[Product weight]]*Table1[[#This Row],[Order Qty]]</f>
        <v>240</v>
      </c>
      <c r="G297">
        <f>Table1[[#This Row],[Weight per order (g)]]/1000</f>
        <v>0.24</v>
      </c>
      <c r="H297" s="1">
        <f>CEILING(Table1[[#This Row],[Weight per order (Kg)]],0.5)</f>
        <v>0.5</v>
      </c>
      <c r="I297" t="str">
        <f>_xlfn.XLOOKUP(Table1[[#This Row],[OrderID]],'Courier company invoice'!B:B,'Courier company invoice'!F:F)</f>
        <v>d</v>
      </c>
      <c r="J297" s="1" t="str">
        <f>_xlfn.XLOOKUP(Table1[[#This Row],[OrderID]],Table2[Order ID],Table2[Type of Shipment],"Not Found")</f>
        <v>Forward charges</v>
      </c>
      <c r="K297">
        <f>INDEX(Sheet1[],1,MATCH("fwd_"&amp;Table1[[#This Row],[Zone]]&amp;"_fixed",Sheet1[#Headers],0))</f>
        <v>45.4</v>
      </c>
      <c r="L297">
        <f>INDEX(Sheet1[],1,MATCH("fwd_"&amp;Table1[[#This Row],[Zone]]&amp;"_additional",Sheet1[#Headers],0))</f>
        <v>44.8</v>
      </c>
      <c r="M297" s="1">
        <f>(Table1[[#This Row],[Weight slab]]-0.5)/0.5</f>
        <v>0</v>
      </c>
      <c r="N297" s="1">
        <f>Table1[[#This Row],[Fixed_Charges]]+Table1[[#This Row],[No_of_Extra_slabs]]*Table1[[#This Row],[Additional_Charges]]</f>
        <v>45.4</v>
      </c>
      <c r="O297">
        <f>_xlfn.XLOOKUP(Table1[[#This Row],[OrderID]],'Courier company invoice'!B:B,'Courier company invoice'!H:H)</f>
        <v>45.4</v>
      </c>
      <c r="P297" s="1">
        <f>Table1[[#This Row],[Billing Amount]]-Table1[[#This Row],[Expected charges]]</f>
        <v>0</v>
      </c>
      <c r="Q297" s="1" t="str" cm="1">
        <f t="array" ref="Q29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298" spans="1:17" x14ac:dyDescent="0.3">
      <c r="A298" s="3" t="s">
        <v>94</v>
      </c>
      <c r="B298" s="2">
        <f>Table1[[#This Row],[Order ID]]*1</f>
        <v>2001807084</v>
      </c>
      <c r="C298" s="2">
        <v>8904223818706</v>
      </c>
      <c r="D298">
        <v>1</v>
      </c>
      <c r="E298">
        <f>_xlfn.XLOOKUP(Table1[[#This Row],[SKU (Product Code)]],'SKU Master'!A:A,'SKU Master'!B:B)</f>
        <v>127</v>
      </c>
      <c r="F298">
        <f>Table1[[#This Row],[Product weight]]*Table1[[#This Row],[Order Qty]]</f>
        <v>127</v>
      </c>
      <c r="G298">
        <f>Table1[[#This Row],[Weight per order (g)]]/1000</f>
        <v>0.127</v>
      </c>
      <c r="H298" s="1">
        <f>CEILING(Table1[[#This Row],[Weight per order (Kg)]],0.5)</f>
        <v>0.5</v>
      </c>
      <c r="I298" t="str">
        <f>_xlfn.XLOOKUP(Table1[[#This Row],[OrderID]],'Courier company invoice'!B:B,'Courier company invoice'!F:F)</f>
        <v>d</v>
      </c>
      <c r="J298" s="1" t="str">
        <f>_xlfn.XLOOKUP(Table1[[#This Row],[OrderID]],Table2[Order ID],Table2[Type of Shipment],"Not Found")</f>
        <v>Forward charges</v>
      </c>
      <c r="K298">
        <f>INDEX(Sheet1[],1,MATCH("fwd_"&amp;Table1[[#This Row],[Zone]]&amp;"_fixed",Sheet1[#Headers],0))</f>
        <v>45.4</v>
      </c>
      <c r="L298">
        <f>INDEX(Sheet1[],1,MATCH("fwd_"&amp;Table1[[#This Row],[Zone]]&amp;"_additional",Sheet1[#Headers],0))</f>
        <v>44.8</v>
      </c>
      <c r="M298" s="1">
        <f>(Table1[[#This Row],[Weight slab]]-0.5)/0.5</f>
        <v>0</v>
      </c>
      <c r="N298" s="1">
        <f>Table1[[#This Row],[Fixed_Charges]]+Table1[[#This Row],[No_of_Extra_slabs]]*Table1[[#This Row],[Additional_Charges]]</f>
        <v>45.4</v>
      </c>
      <c r="O298">
        <f>_xlfn.XLOOKUP(Table1[[#This Row],[OrderID]],'Courier company invoice'!B:B,'Courier company invoice'!H:H)</f>
        <v>90.2</v>
      </c>
      <c r="P298" s="1">
        <f>Table1[[#This Row],[Billing Amount]]-Table1[[#This Row],[Expected charges]]</f>
        <v>44.800000000000004</v>
      </c>
      <c r="Q298" s="1" t="str" cm="1">
        <f t="array" ref="Q29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299" spans="1:17" x14ac:dyDescent="0.3">
      <c r="A299" s="3" t="s">
        <v>94</v>
      </c>
      <c r="B299" s="2">
        <f>Table1[[#This Row],[Order ID]]*1</f>
        <v>2001807084</v>
      </c>
      <c r="C299" s="2">
        <v>8904223818942</v>
      </c>
      <c r="D299">
        <v>1</v>
      </c>
      <c r="E299">
        <f>_xlfn.XLOOKUP(Table1[[#This Row],[SKU (Product Code)]],'SKU Master'!A:A,'SKU Master'!B:B)</f>
        <v>133</v>
      </c>
      <c r="F299">
        <f>Table1[[#This Row],[Product weight]]*Table1[[#This Row],[Order Qty]]</f>
        <v>133</v>
      </c>
      <c r="G299">
        <f>Table1[[#This Row],[Weight per order (g)]]/1000</f>
        <v>0.13300000000000001</v>
      </c>
      <c r="H299" s="1">
        <f>CEILING(Table1[[#This Row],[Weight per order (Kg)]],0.5)</f>
        <v>0.5</v>
      </c>
      <c r="I299" t="str">
        <f>_xlfn.XLOOKUP(Table1[[#This Row],[OrderID]],'Courier company invoice'!B:B,'Courier company invoice'!F:F)</f>
        <v>d</v>
      </c>
      <c r="J299" s="1" t="str">
        <f>_xlfn.XLOOKUP(Table1[[#This Row],[OrderID]],Table2[Order ID],Table2[Type of Shipment],"Not Found")</f>
        <v>Forward charges</v>
      </c>
      <c r="K299">
        <f>INDEX(Sheet1[],1,MATCH("fwd_"&amp;Table1[[#This Row],[Zone]]&amp;"_fixed",Sheet1[#Headers],0))</f>
        <v>45.4</v>
      </c>
      <c r="L299">
        <f>INDEX(Sheet1[],1,MATCH("fwd_"&amp;Table1[[#This Row],[Zone]]&amp;"_additional",Sheet1[#Headers],0))</f>
        <v>44.8</v>
      </c>
      <c r="M299" s="1">
        <f>(Table1[[#This Row],[Weight slab]]-0.5)/0.5</f>
        <v>0</v>
      </c>
      <c r="N299" s="1">
        <f>Table1[[#This Row],[Fixed_Charges]]+Table1[[#This Row],[No_of_Extra_slabs]]*Table1[[#This Row],[Additional_Charges]]</f>
        <v>45.4</v>
      </c>
      <c r="O299">
        <f>_xlfn.XLOOKUP(Table1[[#This Row],[OrderID]],'Courier company invoice'!B:B,'Courier company invoice'!H:H)</f>
        <v>90.2</v>
      </c>
      <c r="P299" s="1">
        <f>Table1[[#This Row],[Billing Amount]]-Table1[[#This Row],[Expected charges]]</f>
        <v>44.800000000000004</v>
      </c>
      <c r="Q299" s="1" t="str" cm="1">
        <f t="array" ref="Q29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00" spans="1:17" x14ac:dyDescent="0.3">
      <c r="A300" s="3" t="s">
        <v>94</v>
      </c>
      <c r="B300" s="2">
        <f>Table1[[#This Row],[Order ID]]*1</f>
        <v>2001807084</v>
      </c>
      <c r="C300" s="2">
        <v>8904223818850</v>
      </c>
      <c r="D300">
        <v>1</v>
      </c>
      <c r="E300">
        <f>_xlfn.XLOOKUP(Table1[[#This Row],[SKU (Product Code)]],'SKU Master'!A:A,'SKU Master'!B:B)</f>
        <v>240</v>
      </c>
      <c r="F300">
        <f>Table1[[#This Row],[Product weight]]*Table1[[#This Row],[Order Qty]]</f>
        <v>240</v>
      </c>
      <c r="G300">
        <f>Table1[[#This Row],[Weight per order (g)]]/1000</f>
        <v>0.24</v>
      </c>
      <c r="H300" s="1">
        <f>CEILING(Table1[[#This Row],[Weight per order (Kg)]],0.5)</f>
        <v>0.5</v>
      </c>
      <c r="I300" t="str">
        <f>_xlfn.XLOOKUP(Table1[[#This Row],[OrderID]],'Courier company invoice'!B:B,'Courier company invoice'!F:F)</f>
        <v>d</v>
      </c>
      <c r="J300" s="1" t="str">
        <f>_xlfn.XLOOKUP(Table1[[#This Row],[OrderID]],Table2[Order ID],Table2[Type of Shipment],"Not Found")</f>
        <v>Forward charges</v>
      </c>
      <c r="K300">
        <f>INDEX(Sheet1[],1,MATCH("fwd_"&amp;Table1[[#This Row],[Zone]]&amp;"_fixed",Sheet1[#Headers],0))</f>
        <v>45.4</v>
      </c>
      <c r="L300">
        <f>INDEX(Sheet1[],1,MATCH("fwd_"&amp;Table1[[#This Row],[Zone]]&amp;"_additional",Sheet1[#Headers],0))</f>
        <v>44.8</v>
      </c>
      <c r="M300" s="1">
        <f>(Table1[[#This Row],[Weight slab]]-0.5)/0.5</f>
        <v>0</v>
      </c>
      <c r="N300" s="1">
        <f>Table1[[#This Row],[Fixed_Charges]]+Table1[[#This Row],[No_of_Extra_slabs]]*Table1[[#This Row],[Additional_Charges]]</f>
        <v>45.4</v>
      </c>
      <c r="O300">
        <f>_xlfn.XLOOKUP(Table1[[#This Row],[OrderID]],'Courier company invoice'!B:B,'Courier company invoice'!H:H)</f>
        <v>90.2</v>
      </c>
      <c r="P300" s="1">
        <f>Table1[[#This Row],[Billing Amount]]-Table1[[#This Row],[Expected charges]]</f>
        <v>44.800000000000004</v>
      </c>
      <c r="Q300" s="1" t="str" cm="1">
        <f t="array" ref="Q30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01" spans="1:17" x14ac:dyDescent="0.3">
      <c r="A301" s="3" t="s">
        <v>95</v>
      </c>
      <c r="B301" s="2">
        <f>Table1[[#This Row],[Order ID]]*1</f>
        <v>2001807058</v>
      </c>
      <c r="C301" s="2">
        <v>8904223819239</v>
      </c>
      <c r="D301">
        <v>1</v>
      </c>
      <c r="E301">
        <f>_xlfn.XLOOKUP(Table1[[#This Row],[SKU (Product Code)]],'SKU Master'!A:A,'SKU Master'!B:B)</f>
        <v>290</v>
      </c>
      <c r="F301">
        <f>Table1[[#This Row],[Product weight]]*Table1[[#This Row],[Order Qty]]</f>
        <v>290</v>
      </c>
      <c r="G301">
        <f>Table1[[#This Row],[Weight per order (g)]]/1000</f>
        <v>0.28999999999999998</v>
      </c>
      <c r="H301" s="1">
        <f>CEILING(Table1[[#This Row],[Weight per order (Kg)]],0.5)</f>
        <v>0.5</v>
      </c>
      <c r="I301" t="str">
        <f>_xlfn.XLOOKUP(Table1[[#This Row],[OrderID]],'Courier company invoice'!B:B,'Courier company invoice'!F:F)</f>
        <v>b</v>
      </c>
      <c r="J301" s="1" t="str">
        <f>_xlfn.XLOOKUP(Table1[[#This Row],[OrderID]],Table2[Order ID],Table2[Type of Shipment],"Not Found")</f>
        <v>Forward charges</v>
      </c>
      <c r="K301">
        <f>INDEX(Sheet1[],1,MATCH("fwd_"&amp;Table1[[#This Row],[Zone]]&amp;"_fixed",Sheet1[#Headers],0))</f>
        <v>33</v>
      </c>
      <c r="L301">
        <f>INDEX(Sheet1[],1,MATCH("fwd_"&amp;Table1[[#This Row],[Zone]]&amp;"_additional",Sheet1[#Headers],0))</f>
        <v>28.3</v>
      </c>
      <c r="M301" s="1">
        <f>(Table1[[#This Row],[Weight slab]]-0.5)/0.5</f>
        <v>0</v>
      </c>
      <c r="N301" s="1">
        <f>Table1[[#This Row],[Fixed_Charges]]+Table1[[#This Row],[No_of_Extra_slabs]]*Table1[[#This Row],[Additional_Charges]]</f>
        <v>33</v>
      </c>
      <c r="O301">
        <f>_xlfn.XLOOKUP(Table1[[#This Row],[OrderID]],'Courier company invoice'!B:B,'Courier company invoice'!H:H)</f>
        <v>89.6</v>
      </c>
      <c r="P301" s="1">
        <f>Table1[[#This Row],[Billing Amount]]-Table1[[#This Row],[Expected charges]]</f>
        <v>56.599999999999994</v>
      </c>
      <c r="Q301" s="1" t="str" cm="1">
        <f t="array" ref="Q30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02" spans="1:17" x14ac:dyDescent="0.3">
      <c r="A302" s="3" t="s">
        <v>95</v>
      </c>
      <c r="B302" s="2">
        <f>Table1[[#This Row],[Order ID]]*1</f>
        <v>2001807058</v>
      </c>
      <c r="C302" s="2">
        <v>8904223819246</v>
      </c>
      <c r="D302">
        <v>1</v>
      </c>
      <c r="E302">
        <f>_xlfn.XLOOKUP(Table1[[#This Row],[SKU (Product Code)]],'SKU Master'!A:A,'SKU Master'!B:B)</f>
        <v>290</v>
      </c>
      <c r="F302">
        <f>Table1[[#This Row],[Product weight]]*Table1[[#This Row],[Order Qty]]</f>
        <v>290</v>
      </c>
      <c r="G302">
        <f>Table1[[#This Row],[Weight per order (g)]]/1000</f>
        <v>0.28999999999999998</v>
      </c>
      <c r="H302" s="1">
        <f>CEILING(Table1[[#This Row],[Weight per order (Kg)]],0.5)</f>
        <v>0.5</v>
      </c>
      <c r="I302" t="str">
        <f>_xlfn.XLOOKUP(Table1[[#This Row],[OrderID]],'Courier company invoice'!B:B,'Courier company invoice'!F:F)</f>
        <v>b</v>
      </c>
      <c r="J302" s="1" t="str">
        <f>_xlfn.XLOOKUP(Table1[[#This Row],[OrderID]],Table2[Order ID],Table2[Type of Shipment],"Not Found")</f>
        <v>Forward charges</v>
      </c>
      <c r="K302">
        <f>INDEX(Sheet1[],1,MATCH("fwd_"&amp;Table1[[#This Row],[Zone]]&amp;"_fixed",Sheet1[#Headers],0))</f>
        <v>33</v>
      </c>
      <c r="L302">
        <f>INDEX(Sheet1[],1,MATCH("fwd_"&amp;Table1[[#This Row],[Zone]]&amp;"_additional",Sheet1[#Headers],0))</f>
        <v>28.3</v>
      </c>
      <c r="M302" s="1">
        <f>(Table1[[#This Row],[Weight slab]]-0.5)/0.5</f>
        <v>0</v>
      </c>
      <c r="N302" s="1">
        <f>Table1[[#This Row],[Fixed_Charges]]+Table1[[#This Row],[No_of_Extra_slabs]]*Table1[[#This Row],[Additional_Charges]]</f>
        <v>33</v>
      </c>
      <c r="O302">
        <f>_xlfn.XLOOKUP(Table1[[#This Row],[OrderID]],'Courier company invoice'!B:B,'Courier company invoice'!H:H)</f>
        <v>89.6</v>
      </c>
      <c r="P302" s="1">
        <f>Table1[[#This Row],[Billing Amount]]-Table1[[#This Row],[Expected charges]]</f>
        <v>56.599999999999994</v>
      </c>
      <c r="Q302" s="1" t="str" cm="1">
        <f t="array" ref="Q30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03" spans="1:17" x14ac:dyDescent="0.3">
      <c r="A303" s="3" t="s">
        <v>95</v>
      </c>
      <c r="B303" s="2">
        <f>Table1[[#This Row],[Order ID]]*1</f>
        <v>2001807058</v>
      </c>
      <c r="C303" s="2">
        <v>8904223819253</v>
      </c>
      <c r="D303">
        <v>1</v>
      </c>
      <c r="E303">
        <f>_xlfn.XLOOKUP(Table1[[#This Row],[SKU (Product Code)]],'SKU Master'!A:A,'SKU Master'!B:B)</f>
        <v>290</v>
      </c>
      <c r="F303">
        <f>Table1[[#This Row],[Product weight]]*Table1[[#This Row],[Order Qty]]</f>
        <v>290</v>
      </c>
      <c r="G303">
        <f>Table1[[#This Row],[Weight per order (g)]]/1000</f>
        <v>0.28999999999999998</v>
      </c>
      <c r="H303" s="1">
        <f>CEILING(Table1[[#This Row],[Weight per order (Kg)]],0.5)</f>
        <v>0.5</v>
      </c>
      <c r="I303" t="str">
        <f>_xlfn.XLOOKUP(Table1[[#This Row],[OrderID]],'Courier company invoice'!B:B,'Courier company invoice'!F:F)</f>
        <v>b</v>
      </c>
      <c r="J303" s="1" t="str">
        <f>_xlfn.XLOOKUP(Table1[[#This Row],[OrderID]],Table2[Order ID],Table2[Type of Shipment],"Not Found")</f>
        <v>Forward charges</v>
      </c>
      <c r="K303">
        <f>INDEX(Sheet1[],1,MATCH("fwd_"&amp;Table1[[#This Row],[Zone]]&amp;"_fixed",Sheet1[#Headers],0))</f>
        <v>33</v>
      </c>
      <c r="L303">
        <f>INDEX(Sheet1[],1,MATCH("fwd_"&amp;Table1[[#This Row],[Zone]]&amp;"_additional",Sheet1[#Headers],0))</f>
        <v>28.3</v>
      </c>
      <c r="M303" s="1">
        <f>(Table1[[#This Row],[Weight slab]]-0.5)/0.5</f>
        <v>0</v>
      </c>
      <c r="N303" s="1">
        <f>Table1[[#This Row],[Fixed_Charges]]+Table1[[#This Row],[No_of_Extra_slabs]]*Table1[[#This Row],[Additional_Charges]]</f>
        <v>33</v>
      </c>
      <c r="O303">
        <f>_xlfn.XLOOKUP(Table1[[#This Row],[OrderID]],'Courier company invoice'!B:B,'Courier company invoice'!H:H)</f>
        <v>89.6</v>
      </c>
      <c r="P303" s="1">
        <f>Table1[[#This Row],[Billing Amount]]-Table1[[#This Row],[Expected charges]]</f>
        <v>56.599999999999994</v>
      </c>
      <c r="Q303" s="1" t="str" cm="1">
        <f t="array" ref="Q30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04" spans="1:17" x14ac:dyDescent="0.3">
      <c r="A304" s="3" t="s">
        <v>95</v>
      </c>
      <c r="B304" s="2">
        <f>Table1[[#This Row],[Order ID]]*1</f>
        <v>2001807058</v>
      </c>
      <c r="C304" s="2">
        <v>8904223818713</v>
      </c>
      <c r="D304">
        <v>1</v>
      </c>
      <c r="E304">
        <f>_xlfn.XLOOKUP(Table1[[#This Row],[SKU (Product Code)]],'SKU Master'!A:A,'SKU Master'!B:B)</f>
        <v>120</v>
      </c>
      <c r="F304">
        <f>Table1[[#This Row],[Product weight]]*Table1[[#This Row],[Order Qty]]</f>
        <v>120</v>
      </c>
      <c r="G304">
        <f>Table1[[#This Row],[Weight per order (g)]]/1000</f>
        <v>0.12</v>
      </c>
      <c r="H304" s="1">
        <f>CEILING(Table1[[#This Row],[Weight per order (Kg)]],0.5)</f>
        <v>0.5</v>
      </c>
      <c r="I304" t="str">
        <f>_xlfn.XLOOKUP(Table1[[#This Row],[OrderID]],'Courier company invoice'!B:B,'Courier company invoice'!F:F)</f>
        <v>b</v>
      </c>
      <c r="J304" s="1" t="str">
        <f>_xlfn.XLOOKUP(Table1[[#This Row],[OrderID]],Table2[Order ID],Table2[Type of Shipment],"Not Found")</f>
        <v>Forward charges</v>
      </c>
      <c r="K304">
        <f>INDEX(Sheet1[],1,MATCH("fwd_"&amp;Table1[[#This Row],[Zone]]&amp;"_fixed",Sheet1[#Headers],0))</f>
        <v>33</v>
      </c>
      <c r="L304">
        <f>INDEX(Sheet1[],1,MATCH("fwd_"&amp;Table1[[#This Row],[Zone]]&amp;"_additional",Sheet1[#Headers],0))</f>
        <v>28.3</v>
      </c>
      <c r="M304" s="1">
        <f>(Table1[[#This Row],[Weight slab]]-0.5)/0.5</f>
        <v>0</v>
      </c>
      <c r="N304" s="1">
        <f>Table1[[#This Row],[Fixed_Charges]]+Table1[[#This Row],[No_of_Extra_slabs]]*Table1[[#This Row],[Additional_Charges]]</f>
        <v>33</v>
      </c>
      <c r="O304">
        <f>_xlfn.XLOOKUP(Table1[[#This Row],[OrderID]],'Courier company invoice'!B:B,'Courier company invoice'!H:H)</f>
        <v>89.6</v>
      </c>
      <c r="P304" s="1">
        <f>Table1[[#This Row],[Billing Amount]]-Table1[[#This Row],[Expected charges]]</f>
        <v>56.599999999999994</v>
      </c>
      <c r="Q304" s="1" t="str" cm="1">
        <f t="array" ref="Q30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05" spans="1:17" x14ac:dyDescent="0.3">
      <c r="A305" s="3" t="s">
        <v>95</v>
      </c>
      <c r="B305" s="2">
        <f>Table1[[#This Row],[Order ID]]*1</f>
        <v>2001807058</v>
      </c>
      <c r="C305" s="2">
        <v>8904223817273</v>
      </c>
      <c r="D305">
        <v>1</v>
      </c>
      <c r="E305">
        <f>_xlfn.XLOOKUP(Table1[[#This Row],[SKU (Product Code)]],'SKU Master'!A:A,'SKU Master'!B:B)</f>
        <v>65</v>
      </c>
      <c r="F305">
        <f>Table1[[#This Row],[Product weight]]*Table1[[#This Row],[Order Qty]]</f>
        <v>65</v>
      </c>
      <c r="G305">
        <f>Table1[[#This Row],[Weight per order (g)]]/1000</f>
        <v>6.5000000000000002E-2</v>
      </c>
      <c r="H305" s="1">
        <f>CEILING(Table1[[#This Row],[Weight per order (Kg)]],0.5)</f>
        <v>0.5</v>
      </c>
      <c r="I305" t="str">
        <f>_xlfn.XLOOKUP(Table1[[#This Row],[OrderID]],'Courier company invoice'!B:B,'Courier company invoice'!F:F)</f>
        <v>b</v>
      </c>
      <c r="J305" s="1" t="str">
        <f>_xlfn.XLOOKUP(Table1[[#This Row],[OrderID]],Table2[Order ID],Table2[Type of Shipment],"Not Found")</f>
        <v>Forward charges</v>
      </c>
      <c r="K305">
        <f>INDEX(Sheet1[],1,MATCH("fwd_"&amp;Table1[[#This Row],[Zone]]&amp;"_fixed",Sheet1[#Headers],0))</f>
        <v>33</v>
      </c>
      <c r="L305">
        <f>INDEX(Sheet1[],1,MATCH("fwd_"&amp;Table1[[#This Row],[Zone]]&amp;"_additional",Sheet1[#Headers],0))</f>
        <v>28.3</v>
      </c>
      <c r="M305" s="1">
        <f>(Table1[[#This Row],[Weight slab]]-0.5)/0.5</f>
        <v>0</v>
      </c>
      <c r="N305" s="1">
        <f>Table1[[#This Row],[Fixed_Charges]]+Table1[[#This Row],[No_of_Extra_slabs]]*Table1[[#This Row],[Additional_Charges]]</f>
        <v>33</v>
      </c>
      <c r="O305">
        <f>_xlfn.XLOOKUP(Table1[[#This Row],[OrderID]],'Courier company invoice'!B:B,'Courier company invoice'!H:H)</f>
        <v>89.6</v>
      </c>
      <c r="P305" s="1">
        <f>Table1[[#This Row],[Billing Amount]]-Table1[[#This Row],[Expected charges]]</f>
        <v>56.599999999999994</v>
      </c>
      <c r="Q305" s="1" t="str" cm="1">
        <f t="array" ref="Q30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06" spans="1:17" x14ac:dyDescent="0.3">
      <c r="A306" s="3" t="s">
        <v>95</v>
      </c>
      <c r="B306" s="2">
        <f>Table1[[#This Row],[Order ID]]*1</f>
        <v>2001807058</v>
      </c>
      <c r="C306" s="2">
        <v>8904223818751</v>
      </c>
      <c r="D306">
        <v>1</v>
      </c>
      <c r="E306">
        <f>_xlfn.XLOOKUP(Table1[[#This Row],[SKU (Product Code)]],'SKU Master'!A:A,'SKU Master'!B:B)</f>
        <v>113</v>
      </c>
      <c r="F306">
        <f>Table1[[#This Row],[Product weight]]*Table1[[#This Row],[Order Qty]]</f>
        <v>113</v>
      </c>
      <c r="G306">
        <f>Table1[[#This Row],[Weight per order (g)]]/1000</f>
        <v>0.113</v>
      </c>
      <c r="H306" s="1">
        <f>CEILING(Table1[[#This Row],[Weight per order (Kg)]],0.5)</f>
        <v>0.5</v>
      </c>
      <c r="I306" t="str">
        <f>_xlfn.XLOOKUP(Table1[[#This Row],[OrderID]],'Courier company invoice'!B:B,'Courier company invoice'!F:F)</f>
        <v>b</v>
      </c>
      <c r="J306" s="1" t="str">
        <f>_xlfn.XLOOKUP(Table1[[#This Row],[OrderID]],Table2[Order ID],Table2[Type of Shipment],"Not Found")</f>
        <v>Forward charges</v>
      </c>
      <c r="K306">
        <f>INDEX(Sheet1[],1,MATCH("fwd_"&amp;Table1[[#This Row],[Zone]]&amp;"_fixed",Sheet1[#Headers],0))</f>
        <v>33</v>
      </c>
      <c r="L306">
        <f>INDEX(Sheet1[],1,MATCH("fwd_"&amp;Table1[[#This Row],[Zone]]&amp;"_additional",Sheet1[#Headers],0))</f>
        <v>28.3</v>
      </c>
      <c r="M306" s="1">
        <f>(Table1[[#This Row],[Weight slab]]-0.5)/0.5</f>
        <v>0</v>
      </c>
      <c r="N306" s="1">
        <f>Table1[[#This Row],[Fixed_Charges]]+Table1[[#This Row],[No_of_Extra_slabs]]*Table1[[#This Row],[Additional_Charges]]</f>
        <v>33</v>
      </c>
      <c r="O306">
        <f>_xlfn.XLOOKUP(Table1[[#This Row],[OrderID]],'Courier company invoice'!B:B,'Courier company invoice'!H:H)</f>
        <v>89.6</v>
      </c>
      <c r="P306" s="1">
        <f>Table1[[#This Row],[Billing Amount]]-Table1[[#This Row],[Expected charges]]</f>
        <v>56.599999999999994</v>
      </c>
      <c r="Q306" s="1" t="str" cm="1">
        <f t="array" ref="Q30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07" spans="1:17" x14ac:dyDescent="0.3">
      <c r="A307" s="3" t="s">
        <v>96</v>
      </c>
      <c r="B307" s="2">
        <f>Table1[[#This Row],[Order ID]]*1</f>
        <v>2001807036</v>
      </c>
      <c r="C307" s="2">
        <v>8904223819291</v>
      </c>
      <c r="D307">
        <v>4</v>
      </c>
      <c r="E307">
        <f>_xlfn.XLOOKUP(Table1[[#This Row],[SKU (Product Code)]],'SKU Master'!A:A,'SKU Master'!B:B)</f>
        <v>112</v>
      </c>
      <c r="F307">
        <f>Table1[[#This Row],[Product weight]]*Table1[[#This Row],[Order Qty]]</f>
        <v>448</v>
      </c>
      <c r="G307">
        <f>Table1[[#This Row],[Weight per order (g)]]/1000</f>
        <v>0.44800000000000001</v>
      </c>
      <c r="H307" s="1">
        <f>CEILING(Table1[[#This Row],[Weight per order (Kg)]],0.5)</f>
        <v>0.5</v>
      </c>
      <c r="I307" t="str">
        <f>_xlfn.XLOOKUP(Table1[[#This Row],[OrderID]],'Courier company invoice'!B:B,'Courier company invoice'!F:F)</f>
        <v>d</v>
      </c>
      <c r="J307" s="1" t="str">
        <f>_xlfn.XLOOKUP(Table1[[#This Row],[OrderID]],Table2[Order ID],Table2[Type of Shipment],"Not Found")</f>
        <v>Forward charges</v>
      </c>
      <c r="K307">
        <f>INDEX(Sheet1[],1,MATCH("fwd_"&amp;Table1[[#This Row],[Zone]]&amp;"_fixed",Sheet1[#Headers],0))</f>
        <v>45.4</v>
      </c>
      <c r="L307">
        <f>INDEX(Sheet1[],1,MATCH("fwd_"&amp;Table1[[#This Row],[Zone]]&amp;"_additional",Sheet1[#Headers],0))</f>
        <v>44.8</v>
      </c>
      <c r="M307" s="1">
        <f>(Table1[[#This Row],[Weight slab]]-0.5)/0.5</f>
        <v>0</v>
      </c>
      <c r="N307" s="1">
        <f>Table1[[#This Row],[Fixed_Charges]]+Table1[[#This Row],[No_of_Extra_slabs]]*Table1[[#This Row],[Additional_Charges]]</f>
        <v>45.4</v>
      </c>
      <c r="O307">
        <f>_xlfn.XLOOKUP(Table1[[#This Row],[OrderID]],'Courier company invoice'!B:B,'Courier company invoice'!H:H)</f>
        <v>179.8</v>
      </c>
      <c r="P307" s="1">
        <f>Table1[[#This Row],[Billing Amount]]-Table1[[#This Row],[Expected charges]]</f>
        <v>134.4</v>
      </c>
      <c r="Q307" s="1" t="str" cm="1">
        <f t="array" ref="Q30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08" spans="1:17" x14ac:dyDescent="0.3">
      <c r="A308" s="3" t="s">
        <v>96</v>
      </c>
      <c r="B308" s="2">
        <f>Table1[[#This Row],[Order ID]]*1</f>
        <v>2001807036</v>
      </c>
      <c r="C308" s="2">
        <v>8904223819031</v>
      </c>
      <c r="D308">
        <v>4</v>
      </c>
      <c r="E308">
        <f>_xlfn.XLOOKUP(Table1[[#This Row],[SKU (Product Code)]],'SKU Master'!A:A,'SKU Master'!B:B)</f>
        <v>112</v>
      </c>
      <c r="F308">
        <f>Table1[[#This Row],[Product weight]]*Table1[[#This Row],[Order Qty]]</f>
        <v>448</v>
      </c>
      <c r="G308">
        <f>Table1[[#This Row],[Weight per order (g)]]/1000</f>
        <v>0.44800000000000001</v>
      </c>
      <c r="H308" s="1">
        <f>CEILING(Table1[[#This Row],[Weight per order (Kg)]],0.5)</f>
        <v>0.5</v>
      </c>
      <c r="I308" t="str">
        <f>_xlfn.XLOOKUP(Table1[[#This Row],[OrderID]],'Courier company invoice'!B:B,'Courier company invoice'!F:F)</f>
        <v>d</v>
      </c>
      <c r="J308" s="1" t="str">
        <f>_xlfn.XLOOKUP(Table1[[#This Row],[OrderID]],Table2[Order ID],Table2[Type of Shipment],"Not Found")</f>
        <v>Forward charges</v>
      </c>
      <c r="K308">
        <f>INDEX(Sheet1[],1,MATCH("fwd_"&amp;Table1[[#This Row],[Zone]]&amp;"_fixed",Sheet1[#Headers],0))</f>
        <v>45.4</v>
      </c>
      <c r="L308">
        <f>INDEX(Sheet1[],1,MATCH("fwd_"&amp;Table1[[#This Row],[Zone]]&amp;"_additional",Sheet1[#Headers],0))</f>
        <v>44.8</v>
      </c>
      <c r="M308" s="1">
        <f>(Table1[[#This Row],[Weight slab]]-0.5)/0.5</f>
        <v>0</v>
      </c>
      <c r="N308" s="1">
        <f>Table1[[#This Row],[Fixed_Charges]]+Table1[[#This Row],[No_of_Extra_slabs]]*Table1[[#This Row],[Additional_Charges]]</f>
        <v>45.4</v>
      </c>
      <c r="O308">
        <f>_xlfn.XLOOKUP(Table1[[#This Row],[OrderID]],'Courier company invoice'!B:B,'Courier company invoice'!H:H)</f>
        <v>179.8</v>
      </c>
      <c r="P308" s="1">
        <f>Table1[[#This Row],[Billing Amount]]-Table1[[#This Row],[Expected charges]]</f>
        <v>134.4</v>
      </c>
      <c r="Q308" s="1" t="str" cm="1">
        <f t="array" ref="Q30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09" spans="1:17" x14ac:dyDescent="0.3">
      <c r="A309" s="3" t="s">
        <v>96</v>
      </c>
      <c r="B309" s="2">
        <f>Table1[[#This Row],[Order ID]]*1</f>
        <v>2001807036</v>
      </c>
      <c r="C309" s="2">
        <v>8904223819024</v>
      </c>
      <c r="D309">
        <v>4</v>
      </c>
      <c r="E309">
        <f>_xlfn.XLOOKUP(Table1[[#This Row],[SKU (Product Code)]],'SKU Master'!A:A,'SKU Master'!B:B)</f>
        <v>112</v>
      </c>
      <c r="F309">
        <f>Table1[[#This Row],[Product weight]]*Table1[[#This Row],[Order Qty]]</f>
        <v>448</v>
      </c>
      <c r="G309">
        <f>Table1[[#This Row],[Weight per order (g)]]/1000</f>
        <v>0.44800000000000001</v>
      </c>
      <c r="H309" s="1">
        <f>CEILING(Table1[[#This Row],[Weight per order (Kg)]],0.5)</f>
        <v>0.5</v>
      </c>
      <c r="I309" t="str">
        <f>_xlfn.XLOOKUP(Table1[[#This Row],[OrderID]],'Courier company invoice'!B:B,'Courier company invoice'!F:F)</f>
        <v>d</v>
      </c>
      <c r="J309" s="1" t="str">
        <f>_xlfn.XLOOKUP(Table1[[#This Row],[OrderID]],Table2[Order ID],Table2[Type of Shipment],"Not Found")</f>
        <v>Forward charges</v>
      </c>
      <c r="K309">
        <f>INDEX(Sheet1[],1,MATCH("fwd_"&amp;Table1[[#This Row],[Zone]]&amp;"_fixed",Sheet1[#Headers],0))</f>
        <v>45.4</v>
      </c>
      <c r="L309">
        <f>INDEX(Sheet1[],1,MATCH("fwd_"&amp;Table1[[#This Row],[Zone]]&amp;"_additional",Sheet1[#Headers],0))</f>
        <v>44.8</v>
      </c>
      <c r="M309" s="1">
        <f>(Table1[[#This Row],[Weight slab]]-0.5)/0.5</f>
        <v>0</v>
      </c>
      <c r="N309" s="1">
        <f>Table1[[#This Row],[Fixed_Charges]]+Table1[[#This Row],[No_of_Extra_slabs]]*Table1[[#This Row],[Additional_Charges]]</f>
        <v>45.4</v>
      </c>
      <c r="O309">
        <f>_xlfn.XLOOKUP(Table1[[#This Row],[OrderID]],'Courier company invoice'!B:B,'Courier company invoice'!H:H)</f>
        <v>179.8</v>
      </c>
      <c r="P309" s="1">
        <f>Table1[[#This Row],[Billing Amount]]-Table1[[#This Row],[Expected charges]]</f>
        <v>134.4</v>
      </c>
      <c r="Q309" s="1" t="str" cm="1">
        <f t="array" ref="Q30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10" spans="1:17" x14ac:dyDescent="0.3">
      <c r="A310" s="3" t="s">
        <v>96</v>
      </c>
      <c r="B310" s="2">
        <f>Table1[[#This Row],[Order ID]]*1</f>
        <v>2001807036</v>
      </c>
      <c r="C310" s="2">
        <v>8904223819017</v>
      </c>
      <c r="D310">
        <v>1</v>
      </c>
      <c r="E310">
        <f>_xlfn.XLOOKUP(Table1[[#This Row],[SKU (Product Code)]],'SKU Master'!A:A,'SKU Master'!B:B)</f>
        <v>115</v>
      </c>
      <c r="F310">
        <f>Table1[[#This Row],[Product weight]]*Table1[[#This Row],[Order Qty]]</f>
        <v>115</v>
      </c>
      <c r="G310">
        <f>Table1[[#This Row],[Weight per order (g)]]/1000</f>
        <v>0.115</v>
      </c>
      <c r="H310" s="1">
        <f>CEILING(Table1[[#This Row],[Weight per order (Kg)]],0.5)</f>
        <v>0.5</v>
      </c>
      <c r="I310" t="str">
        <f>_xlfn.XLOOKUP(Table1[[#This Row],[OrderID]],'Courier company invoice'!B:B,'Courier company invoice'!F:F)</f>
        <v>d</v>
      </c>
      <c r="J310" s="1" t="str">
        <f>_xlfn.XLOOKUP(Table1[[#This Row],[OrderID]],Table2[Order ID],Table2[Type of Shipment],"Not Found")</f>
        <v>Forward charges</v>
      </c>
      <c r="K310">
        <f>INDEX(Sheet1[],1,MATCH("fwd_"&amp;Table1[[#This Row],[Zone]]&amp;"_fixed",Sheet1[#Headers],0))</f>
        <v>45.4</v>
      </c>
      <c r="L310">
        <f>INDEX(Sheet1[],1,MATCH("fwd_"&amp;Table1[[#This Row],[Zone]]&amp;"_additional",Sheet1[#Headers],0))</f>
        <v>44.8</v>
      </c>
      <c r="M310" s="1">
        <f>(Table1[[#This Row],[Weight slab]]-0.5)/0.5</f>
        <v>0</v>
      </c>
      <c r="N310" s="1">
        <f>Table1[[#This Row],[Fixed_Charges]]+Table1[[#This Row],[No_of_Extra_slabs]]*Table1[[#This Row],[Additional_Charges]]</f>
        <v>45.4</v>
      </c>
      <c r="O310">
        <f>_xlfn.XLOOKUP(Table1[[#This Row],[OrderID]],'Courier company invoice'!B:B,'Courier company invoice'!H:H)</f>
        <v>179.8</v>
      </c>
      <c r="P310" s="1">
        <f>Table1[[#This Row],[Billing Amount]]-Table1[[#This Row],[Expected charges]]</f>
        <v>134.4</v>
      </c>
      <c r="Q310" s="1" t="str" cm="1">
        <f t="array" ref="Q31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11" spans="1:17" x14ac:dyDescent="0.3">
      <c r="A311" s="3" t="s">
        <v>97</v>
      </c>
      <c r="B311" s="2">
        <f>Table1[[#This Row],[Order ID]]*1</f>
        <v>2001807012</v>
      </c>
      <c r="C311" s="2">
        <v>8904223819468</v>
      </c>
      <c r="D311">
        <v>1</v>
      </c>
      <c r="E311">
        <f>_xlfn.XLOOKUP(Table1[[#This Row],[SKU (Product Code)]],'SKU Master'!A:A,'SKU Master'!B:B)</f>
        <v>240</v>
      </c>
      <c r="F311">
        <f>Table1[[#This Row],[Product weight]]*Table1[[#This Row],[Order Qty]]</f>
        <v>240</v>
      </c>
      <c r="G311">
        <f>Table1[[#This Row],[Weight per order (g)]]/1000</f>
        <v>0.24</v>
      </c>
      <c r="H311" s="1">
        <f>CEILING(Table1[[#This Row],[Weight per order (Kg)]],0.5)</f>
        <v>0.5</v>
      </c>
      <c r="I311" t="str">
        <f>_xlfn.XLOOKUP(Table1[[#This Row],[OrderID]],'Courier company invoice'!B:B,'Courier company invoice'!F:F)</f>
        <v>d</v>
      </c>
      <c r="J311" s="1" t="str">
        <f>_xlfn.XLOOKUP(Table1[[#This Row],[OrderID]],Table2[Order ID],Table2[Type of Shipment],"Not Found")</f>
        <v>Forward charges</v>
      </c>
      <c r="K311">
        <f>INDEX(Sheet1[],1,MATCH("fwd_"&amp;Table1[[#This Row],[Zone]]&amp;"_fixed",Sheet1[#Headers],0))</f>
        <v>45.4</v>
      </c>
      <c r="L311">
        <f>INDEX(Sheet1[],1,MATCH("fwd_"&amp;Table1[[#This Row],[Zone]]&amp;"_additional",Sheet1[#Headers],0))</f>
        <v>44.8</v>
      </c>
      <c r="M311" s="1">
        <f>(Table1[[#This Row],[Weight slab]]-0.5)/0.5</f>
        <v>0</v>
      </c>
      <c r="N311" s="1">
        <f>Table1[[#This Row],[Fixed_Charges]]+Table1[[#This Row],[No_of_Extra_slabs]]*Table1[[#This Row],[Additional_Charges]]</f>
        <v>45.4</v>
      </c>
      <c r="O311">
        <f>_xlfn.XLOOKUP(Table1[[#This Row],[OrderID]],'Courier company invoice'!B:B,'Courier company invoice'!H:H)</f>
        <v>45.4</v>
      </c>
      <c r="P311" s="1">
        <f>Table1[[#This Row],[Billing Amount]]-Table1[[#This Row],[Expected charges]]</f>
        <v>0</v>
      </c>
      <c r="Q311" s="1" t="str" cm="1">
        <f t="array" ref="Q31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312" spans="1:17" x14ac:dyDescent="0.3">
      <c r="A312" s="3" t="s">
        <v>98</v>
      </c>
      <c r="B312" s="2">
        <f>Table1[[#This Row],[Order ID]]*1</f>
        <v>2001807004</v>
      </c>
      <c r="C312" s="2">
        <v>8904223818706</v>
      </c>
      <c r="D312">
        <v>1</v>
      </c>
      <c r="E312">
        <f>_xlfn.XLOOKUP(Table1[[#This Row],[SKU (Product Code)]],'SKU Master'!A:A,'SKU Master'!B:B)</f>
        <v>127</v>
      </c>
      <c r="F312">
        <f>Table1[[#This Row],[Product weight]]*Table1[[#This Row],[Order Qty]]</f>
        <v>127</v>
      </c>
      <c r="G312">
        <f>Table1[[#This Row],[Weight per order (g)]]/1000</f>
        <v>0.127</v>
      </c>
      <c r="H312" s="1">
        <f>CEILING(Table1[[#This Row],[Weight per order (Kg)]],0.5)</f>
        <v>0.5</v>
      </c>
      <c r="I312" t="str">
        <f>_xlfn.XLOOKUP(Table1[[#This Row],[OrderID]],'Courier company invoice'!B:B,'Courier company invoice'!F:F)</f>
        <v>d</v>
      </c>
      <c r="J312" s="1" t="str">
        <f>_xlfn.XLOOKUP(Table1[[#This Row],[OrderID]],Table2[Order ID],Table2[Type of Shipment],"Not Found")</f>
        <v>Forward charges</v>
      </c>
      <c r="K312">
        <f>INDEX(Sheet1[],1,MATCH("fwd_"&amp;Table1[[#This Row],[Zone]]&amp;"_fixed",Sheet1[#Headers],0))</f>
        <v>45.4</v>
      </c>
      <c r="L312">
        <f>INDEX(Sheet1[],1,MATCH("fwd_"&amp;Table1[[#This Row],[Zone]]&amp;"_additional",Sheet1[#Headers],0))</f>
        <v>44.8</v>
      </c>
      <c r="M312" s="1">
        <f>(Table1[[#This Row],[Weight slab]]-0.5)/0.5</f>
        <v>0</v>
      </c>
      <c r="N312" s="1">
        <f>Table1[[#This Row],[Fixed_Charges]]+Table1[[#This Row],[No_of_Extra_slabs]]*Table1[[#This Row],[Additional_Charges]]</f>
        <v>45.4</v>
      </c>
      <c r="O312">
        <f>_xlfn.XLOOKUP(Table1[[#This Row],[OrderID]],'Courier company invoice'!B:B,'Courier company invoice'!H:H)</f>
        <v>90.2</v>
      </c>
      <c r="P312" s="1">
        <f>Table1[[#This Row],[Billing Amount]]-Table1[[#This Row],[Expected charges]]</f>
        <v>44.800000000000004</v>
      </c>
      <c r="Q312" s="1" t="str" cm="1">
        <f t="array" ref="Q31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13" spans="1:17" x14ac:dyDescent="0.3">
      <c r="A313" s="3" t="s">
        <v>98</v>
      </c>
      <c r="B313" s="2">
        <f>Table1[[#This Row],[Order ID]]*1</f>
        <v>2001807004</v>
      </c>
      <c r="C313" s="2">
        <v>8904223818942</v>
      </c>
      <c r="D313">
        <v>1</v>
      </c>
      <c r="E313">
        <f>_xlfn.XLOOKUP(Table1[[#This Row],[SKU (Product Code)]],'SKU Master'!A:A,'SKU Master'!B:B)</f>
        <v>133</v>
      </c>
      <c r="F313">
        <f>Table1[[#This Row],[Product weight]]*Table1[[#This Row],[Order Qty]]</f>
        <v>133</v>
      </c>
      <c r="G313">
        <f>Table1[[#This Row],[Weight per order (g)]]/1000</f>
        <v>0.13300000000000001</v>
      </c>
      <c r="H313" s="1">
        <f>CEILING(Table1[[#This Row],[Weight per order (Kg)]],0.5)</f>
        <v>0.5</v>
      </c>
      <c r="I313" t="str">
        <f>_xlfn.XLOOKUP(Table1[[#This Row],[OrderID]],'Courier company invoice'!B:B,'Courier company invoice'!F:F)</f>
        <v>d</v>
      </c>
      <c r="J313" s="1" t="str">
        <f>_xlfn.XLOOKUP(Table1[[#This Row],[OrderID]],Table2[Order ID],Table2[Type of Shipment],"Not Found")</f>
        <v>Forward charges</v>
      </c>
      <c r="K313">
        <f>INDEX(Sheet1[],1,MATCH("fwd_"&amp;Table1[[#This Row],[Zone]]&amp;"_fixed",Sheet1[#Headers],0))</f>
        <v>45.4</v>
      </c>
      <c r="L313">
        <f>INDEX(Sheet1[],1,MATCH("fwd_"&amp;Table1[[#This Row],[Zone]]&amp;"_additional",Sheet1[#Headers],0))</f>
        <v>44.8</v>
      </c>
      <c r="M313" s="1">
        <f>(Table1[[#This Row],[Weight slab]]-0.5)/0.5</f>
        <v>0</v>
      </c>
      <c r="N313" s="1">
        <f>Table1[[#This Row],[Fixed_Charges]]+Table1[[#This Row],[No_of_Extra_slabs]]*Table1[[#This Row],[Additional_Charges]]</f>
        <v>45.4</v>
      </c>
      <c r="O313">
        <f>_xlfn.XLOOKUP(Table1[[#This Row],[OrderID]],'Courier company invoice'!B:B,'Courier company invoice'!H:H)</f>
        <v>90.2</v>
      </c>
      <c r="P313" s="1">
        <f>Table1[[#This Row],[Billing Amount]]-Table1[[#This Row],[Expected charges]]</f>
        <v>44.800000000000004</v>
      </c>
      <c r="Q313" s="1" t="str" cm="1">
        <f t="array" ref="Q31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14" spans="1:17" x14ac:dyDescent="0.3">
      <c r="A314" s="3" t="s">
        <v>98</v>
      </c>
      <c r="B314" s="2">
        <f>Table1[[#This Row],[Order ID]]*1</f>
        <v>2001807004</v>
      </c>
      <c r="C314" s="2">
        <v>8904223818850</v>
      </c>
      <c r="D314">
        <v>1</v>
      </c>
      <c r="E314">
        <f>_xlfn.XLOOKUP(Table1[[#This Row],[SKU (Product Code)]],'SKU Master'!A:A,'SKU Master'!B:B)</f>
        <v>240</v>
      </c>
      <c r="F314">
        <f>Table1[[#This Row],[Product weight]]*Table1[[#This Row],[Order Qty]]</f>
        <v>240</v>
      </c>
      <c r="G314">
        <f>Table1[[#This Row],[Weight per order (g)]]/1000</f>
        <v>0.24</v>
      </c>
      <c r="H314" s="1">
        <f>CEILING(Table1[[#This Row],[Weight per order (Kg)]],0.5)</f>
        <v>0.5</v>
      </c>
      <c r="I314" t="str">
        <f>_xlfn.XLOOKUP(Table1[[#This Row],[OrderID]],'Courier company invoice'!B:B,'Courier company invoice'!F:F)</f>
        <v>d</v>
      </c>
      <c r="J314" s="1" t="str">
        <f>_xlfn.XLOOKUP(Table1[[#This Row],[OrderID]],Table2[Order ID],Table2[Type of Shipment],"Not Found")</f>
        <v>Forward charges</v>
      </c>
      <c r="K314">
        <f>INDEX(Sheet1[],1,MATCH("fwd_"&amp;Table1[[#This Row],[Zone]]&amp;"_fixed",Sheet1[#Headers],0))</f>
        <v>45.4</v>
      </c>
      <c r="L314">
        <f>INDEX(Sheet1[],1,MATCH("fwd_"&amp;Table1[[#This Row],[Zone]]&amp;"_additional",Sheet1[#Headers],0))</f>
        <v>44.8</v>
      </c>
      <c r="M314" s="1">
        <f>(Table1[[#This Row],[Weight slab]]-0.5)/0.5</f>
        <v>0</v>
      </c>
      <c r="N314" s="1">
        <f>Table1[[#This Row],[Fixed_Charges]]+Table1[[#This Row],[No_of_Extra_slabs]]*Table1[[#This Row],[Additional_Charges]]</f>
        <v>45.4</v>
      </c>
      <c r="O314">
        <f>_xlfn.XLOOKUP(Table1[[#This Row],[OrderID]],'Courier company invoice'!B:B,'Courier company invoice'!H:H)</f>
        <v>90.2</v>
      </c>
      <c r="P314" s="1">
        <f>Table1[[#This Row],[Billing Amount]]-Table1[[#This Row],[Expected charges]]</f>
        <v>44.800000000000004</v>
      </c>
      <c r="Q314" s="1" t="str" cm="1">
        <f t="array" ref="Q31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15" spans="1:17" x14ac:dyDescent="0.3">
      <c r="A315" s="3" t="s">
        <v>99</v>
      </c>
      <c r="B315" s="2">
        <f>Table1[[#This Row],[Order ID]]*1</f>
        <v>2001806968</v>
      </c>
      <c r="C315" s="2">
        <v>8904223818706</v>
      </c>
      <c r="D315">
        <v>1</v>
      </c>
      <c r="E315">
        <f>_xlfn.XLOOKUP(Table1[[#This Row],[SKU (Product Code)]],'SKU Master'!A:A,'SKU Master'!B:B)</f>
        <v>127</v>
      </c>
      <c r="F315">
        <f>Table1[[#This Row],[Product weight]]*Table1[[#This Row],[Order Qty]]</f>
        <v>127</v>
      </c>
      <c r="G315">
        <f>Table1[[#This Row],[Weight per order (g)]]/1000</f>
        <v>0.127</v>
      </c>
      <c r="H315" s="1">
        <f>CEILING(Table1[[#This Row],[Weight per order (Kg)]],0.5)</f>
        <v>0.5</v>
      </c>
      <c r="I315" t="str">
        <f>_xlfn.XLOOKUP(Table1[[#This Row],[OrderID]],'Courier company invoice'!B:B,'Courier company invoice'!F:F)</f>
        <v>d</v>
      </c>
      <c r="J315" s="1" t="str">
        <f>_xlfn.XLOOKUP(Table1[[#This Row],[OrderID]],Table2[Order ID],Table2[Type of Shipment],"Not Found")</f>
        <v>Forward charges</v>
      </c>
      <c r="K315">
        <f>INDEX(Sheet1[],1,MATCH("fwd_"&amp;Table1[[#This Row],[Zone]]&amp;"_fixed",Sheet1[#Headers],0))</f>
        <v>45.4</v>
      </c>
      <c r="L315">
        <f>INDEX(Sheet1[],1,MATCH("fwd_"&amp;Table1[[#This Row],[Zone]]&amp;"_additional",Sheet1[#Headers],0))</f>
        <v>44.8</v>
      </c>
      <c r="M315" s="1">
        <f>(Table1[[#This Row],[Weight slab]]-0.5)/0.5</f>
        <v>0</v>
      </c>
      <c r="N315" s="1">
        <f>Table1[[#This Row],[Fixed_Charges]]+Table1[[#This Row],[No_of_Extra_slabs]]*Table1[[#This Row],[Additional_Charges]]</f>
        <v>45.4</v>
      </c>
      <c r="O315">
        <f>_xlfn.XLOOKUP(Table1[[#This Row],[OrderID]],'Courier company invoice'!B:B,'Courier company invoice'!H:H)</f>
        <v>90.2</v>
      </c>
      <c r="P315" s="1">
        <f>Table1[[#This Row],[Billing Amount]]-Table1[[#This Row],[Expected charges]]</f>
        <v>44.800000000000004</v>
      </c>
      <c r="Q315" s="1" t="str" cm="1">
        <f t="array" ref="Q31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16" spans="1:17" x14ac:dyDescent="0.3">
      <c r="A316" s="3" t="s">
        <v>99</v>
      </c>
      <c r="B316" s="2">
        <f>Table1[[#This Row],[Order ID]]*1</f>
        <v>2001806968</v>
      </c>
      <c r="C316" s="2">
        <v>8904223818942</v>
      </c>
      <c r="D316">
        <v>1</v>
      </c>
      <c r="E316">
        <f>_xlfn.XLOOKUP(Table1[[#This Row],[SKU (Product Code)]],'SKU Master'!A:A,'SKU Master'!B:B)</f>
        <v>133</v>
      </c>
      <c r="F316">
        <f>Table1[[#This Row],[Product weight]]*Table1[[#This Row],[Order Qty]]</f>
        <v>133</v>
      </c>
      <c r="G316">
        <f>Table1[[#This Row],[Weight per order (g)]]/1000</f>
        <v>0.13300000000000001</v>
      </c>
      <c r="H316" s="1">
        <f>CEILING(Table1[[#This Row],[Weight per order (Kg)]],0.5)</f>
        <v>0.5</v>
      </c>
      <c r="I316" t="str">
        <f>_xlfn.XLOOKUP(Table1[[#This Row],[OrderID]],'Courier company invoice'!B:B,'Courier company invoice'!F:F)</f>
        <v>d</v>
      </c>
      <c r="J316" s="1" t="str">
        <f>_xlfn.XLOOKUP(Table1[[#This Row],[OrderID]],Table2[Order ID],Table2[Type of Shipment],"Not Found")</f>
        <v>Forward charges</v>
      </c>
      <c r="K316">
        <f>INDEX(Sheet1[],1,MATCH("fwd_"&amp;Table1[[#This Row],[Zone]]&amp;"_fixed",Sheet1[#Headers],0))</f>
        <v>45.4</v>
      </c>
      <c r="L316">
        <f>INDEX(Sheet1[],1,MATCH("fwd_"&amp;Table1[[#This Row],[Zone]]&amp;"_additional",Sheet1[#Headers],0))</f>
        <v>44.8</v>
      </c>
      <c r="M316" s="1">
        <f>(Table1[[#This Row],[Weight slab]]-0.5)/0.5</f>
        <v>0</v>
      </c>
      <c r="N316" s="1">
        <f>Table1[[#This Row],[Fixed_Charges]]+Table1[[#This Row],[No_of_Extra_slabs]]*Table1[[#This Row],[Additional_Charges]]</f>
        <v>45.4</v>
      </c>
      <c r="O316">
        <f>_xlfn.XLOOKUP(Table1[[#This Row],[OrderID]],'Courier company invoice'!B:B,'Courier company invoice'!H:H)</f>
        <v>90.2</v>
      </c>
      <c r="P316" s="1">
        <f>Table1[[#This Row],[Billing Amount]]-Table1[[#This Row],[Expected charges]]</f>
        <v>44.800000000000004</v>
      </c>
      <c r="Q316" s="1" t="str" cm="1">
        <f t="array" ref="Q31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17" spans="1:17" x14ac:dyDescent="0.3">
      <c r="A317" s="3" t="s">
        <v>99</v>
      </c>
      <c r="B317" s="2">
        <f>Table1[[#This Row],[Order ID]]*1</f>
        <v>2001806968</v>
      </c>
      <c r="C317" s="2">
        <v>8904223818850</v>
      </c>
      <c r="D317">
        <v>1</v>
      </c>
      <c r="E317">
        <f>_xlfn.XLOOKUP(Table1[[#This Row],[SKU (Product Code)]],'SKU Master'!A:A,'SKU Master'!B:B)</f>
        <v>240</v>
      </c>
      <c r="F317">
        <f>Table1[[#This Row],[Product weight]]*Table1[[#This Row],[Order Qty]]</f>
        <v>240</v>
      </c>
      <c r="G317">
        <f>Table1[[#This Row],[Weight per order (g)]]/1000</f>
        <v>0.24</v>
      </c>
      <c r="H317" s="1">
        <f>CEILING(Table1[[#This Row],[Weight per order (Kg)]],0.5)</f>
        <v>0.5</v>
      </c>
      <c r="I317" t="str">
        <f>_xlfn.XLOOKUP(Table1[[#This Row],[OrderID]],'Courier company invoice'!B:B,'Courier company invoice'!F:F)</f>
        <v>d</v>
      </c>
      <c r="J317" s="1" t="str">
        <f>_xlfn.XLOOKUP(Table1[[#This Row],[OrderID]],Table2[Order ID],Table2[Type of Shipment],"Not Found")</f>
        <v>Forward charges</v>
      </c>
      <c r="K317">
        <f>INDEX(Sheet1[],1,MATCH("fwd_"&amp;Table1[[#This Row],[Zone]]&amp;"_fixed",Sheet1[#Headers],0))</f>
        <v>45.4</v>
      </c>
      <c r="L317">
        <f>INDEX(Sheet1[],1,MATCH("fwd_"&amp;Table1[[#This Row],[Zone]]&amp;"_additional",Sheet1[#Headers],0))</f>
        <v>44.8</v>
      </c>
      <c r="M317" s="1">
        <f>(Table1[[#This Row],[Weight slab]]-0.5)/0.5</f>
        <v>0</v>
      </c>
      <c r="N317" s="1">
        <f>Table1[[#This Row],[Fixed_Charges]]+Table1[[#This Row],[No_of_Extra_slabs]]*Table1[[#This Row],[Additional_Charges]]</f>
        <v>45.4</v>
      </c>
      <c r="O317">
        <f>_xlfn.XLOOKUP(Table1[[#This Row],[OrderID]],'Courier company invoice'!B:B,'Courier company invoice'!H:H)</f>
        <v>90.2</v>
      </c>
      <c r="P317" s="1">
        <f>Table1[[#This Row],[Billing Amount]]-Table1[[#This Row],[Expected charges]]</f>
        <v>44.800000000000004</v>
      </c>
      <c r="Q317" s="1" t="str" cm="1">
        <f t="array" ref="Q31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18" spans="1:17" x14ac:dyDescent="0.3">
      <c r="A318" s="3" t="s">
        <v>100</v>
      </c>
      <c r="B318" s="2">
        <f>Table1[[#This Row],[Order ID]]*1</f>
        <v>2001806885</v>
      </c>
      <c r="C318" s="2">
        <v>8904223819499</v>
      </c>
      <c r="D318">
        <v>2</v>
      </c>
      <c r="E318">
        <f>_xlfn.XLOOKUP(Table1[[#This Row],[SKU (Product Code)]],'SKU Master'!A:A,'SKU Master'!B:B)</f>
        <v>210</v>
      </c>
      <c r="F318">
        <f>Table1[[#This Row],[Product weight]]*Table1[[#This Row],[Order Qty]]</f>
        <v>420</v>
      </c>
      <c r="G318">
        <f>Table1[[#This Row],[Weight per order (g)]]/1000</f>
        <v>0.42</v>
      </c>
      <c r="H318" s="1">
        <f>CEILING(Table1[[#This Row],[Weight per order (Kg)]],0.5)</f>
        <v>0.5</v>
      </c>
      <c r="I318" t="str">
        <f>_xlfn.XLOOKUP(Table1[[#This Row],[OrderID]],'Courier company invoice'!B:B,'Courier company invoice'!F:F)</f>
        <v>b</v>
      </c>
      <c r="J318" s="1" t="str">
        <f>_xlfn.XLOOKUP(Table1[[#This Row],[OrderID]],Table2[Order ID],Table2[Type of Shipment],"Not Found")</f>
        <v>Forward charges</v>
      </c>
      <c r="K318">
        <f>INDEX(Sheet1[],1,MATCH("fwd_"&amp;Table1[[#This Row],[Zone]]&amp;"_fixed",Sheet1[#Headers],0))</f>
        <v>33</v>
      </c>
      <c r="L318">
        <f>INDEX(Sheet1[],1,MATCH("fwd_"&amp;Table1[[#This Row],[Zone]]&amp;"_additional",Sheet1[#Headers],0))</f>
        <v>28.3</v>
      </c>
      <c r="M318" s="1">
        <f>(Table1[[#This Row],[Weight slab]]-0.5)/0.5</f>
        <v>0</v>
      </c>
      <c r="N318" s="1">
        <f>Table1[[#This Row],[Fixed_Charges]]+Table1[[#This Row],[No_of_Extra_slabs]]*Table1[[#This Row],[Additional_Charges]]</f>
        <v>33</v>
      </c>
      <c r="O318">
        <f>_xlfn.XLOOKUP(Table1[[#This Row],[OrderID]],'Courier company invoice'!B:B,'Courier company invoice'!H:H)</f>
        <v>61.3</v>
      </c>
      <c r="P318" s="1">
        <f>Table1[[#This Row],[Billing Amount]]-Table1[[#This Row],[Expected charges]]</f>
        <v>28.299999999999997</v>
      </c>
      <c r="Q318" s="1" t="str" cm="1">
        <f t="array" ref="Q31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19" spans="1:17" x14ac:dyDescent="0.3">
      <c r="A319" s="3" t="s">
        <v>100</v>
      </c>
      <c r="B319" s="2">
        <f>Table1[[#This Row],[Order ID]]*1</f>
        <v>2001806885</v>
      </c>
      <c r="C319" s="2">
        <v>8904223819499</v>
      </c>
      <c r="D319">
        <v>2</v>
      </c>
      <c r="E319">
        <f>_xlfn.XLOOKUP(Table1[[#This Row],[SKU (Product Code)]],'SKU Master'!A:A,'SKU Master'!B:B)</f>
        <v>210</v>
      </c>
      <c r="F319">
        <f>Table1[[#This Row],[Product weight]]*Table1[[#This Row],[Order Qty]]</f>
        <v>420</v>
      </c>
      <c r="G319">
        <f>Table1[[#This Row],[Weight per order (g)]]/1000</f>
        <v>0.42</v>
      </c>
      <c r="H319" s="1">
        <f>CEILING(Table1[[#This Row],[Weight per order (Kg)]],0.5)</f>
        <v>0.5</v>
      </c>
      <c r="I319" t="str">
        <f>_xlfn.XLOOKUP(Table1[[#This Row],[OrderID]],'Courier company invoice'!B:B,'Courier company invoice'!F:F)</f>
        <v>b</v>
      </c>
      <c r="J319" s="1" t="str">
        <f>_xlfn.XLOOKUP(Table1[[#This Row],[OrderID]],Table2[Order ID],Table2[Type of Shipment],"Not Found")</f>
        <v>Forward charges</v>
      </c>
      <c r="K319">
        <f>INDEX(Sheet1[],1,MATCH("fwd_"&amp;Table1[[#This Row],[Zone]]&amp;"_fixed",Sheet1[#Headers],0))</f>
        <v>33</v>
      </c>
      <c r="L319">
        <f>INDEX(Sheet1[],1,MATCH("fwd_"&amp;Table1[[#This Row],[Zone]]&amp;"_additional",Sheet1[#Headers],0))</f>
        <v>28.3</v>
      </c>
      <c r="M319" s="1">
        <f>(Table1[[#This Row],[Weight slab]]-0.5)/0.5</f>
        <v>0</v>
      </c>
      <c r="N319" s="1">
        <f>Table1[[#This Row],[Fixed_Charges]]+Table1[[#This Row],[No_of_Extra_slabs]]*Table1[[#This Row],[Additional_Charges]]</f>
        <v>33</v>
      </c>
      <c r="O319">
        <f>_xlfn.XLOOKUP(Table1[[#This Row],[OrderID]],'Courier company invoice'!B:B,'Courier company invoice'!H:H)</f>
        <v>61.3</v>
      </c>
      <c r="P319" s="1">
        <f>Table1[[#This Row],[Billing Amount]]-Table1[[#This Row],[Expected charges]]</f>
        <v>28.299999999999997</v>
      </c>
      <c r="Q319" s="1" t="str" cm="1">
        <f t="array" ref="Q31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20" spans="1:17" x14ac:dyDescent="0.3">
      <c r="A320" s="3" t="s">
        <v>101</v>
      </c>
      <c r="B320" s="2">
        <f>Table1[[#This Row],[Order ID]]*1</f>
        <v>2001806828</v>
      </c>
      <c r="C320" s="2">
        <v>8904223818706</v>
      </c>
      <c r="D320">
        <v>1</v>
      </c>
      <c r="E320">
        <f>_xlfn.XLOOKUP(Table1[[#This Row],[SKU (Product Code)]],'SKU Master'!A:A,'SKU Master'!B:B)</f>
        <v>127</v>
      </c>
      <c r="F320">
        <f>Table1[[#This Row],[Product weight]]*Table1[[#This Row],[Order Qty]]</f>
        <v>127</v>
      </c>
      <c r="G320">
        <f>Table1[[#This Row],[Weight per order (g)]]/1000</f>
        <v>0.127</v>
      </c>
      <c r="H320" s="1">
        <f>CEILING(Table1[[#This Row],[Weight per order (Kg)]],0.5)</f>
        <v>0.5</v>
      </c>
      <c r="I320" t="str">
        <f>_xlfn.XLOOKUP(Table1[[#This Row],[OrderID]],'Courier company invoice'!B:B,'Courier company invoice'!F:F)</f>
        <v>d</v>
      </c>
      <c r="J320" s="1" t="str">
        <f>_xlfn.XLOOKUP(Table1[[#This Row],[OrderID]],Table2[Order ID],Table2[Type of Shipment],"Not Found")</f>
        <v>Forward charges</v>
      </c>
      <c r="K320">
        <f>INDEX(Sheet1[],1,MATCH("fwd_"&amp;Table1[[#This Row],[Zone]]&amp;"_fixed",Sheet1[#Headers],0))</f>
        <v>45.4</v>
      </c>
      <c r="L320">
        <f>INDEX(Sheet1[],1,MATCH("fwd_"&amp;Table1[[#This Row],[Zone]]&amp;"_additional",Sheet1[#Headers],0))</f>
        <v>44.8</v>
      </c>
      <c r="M320" s="1">
        <f>(Table1[[#This Row],[Weight slab]]-0.5)/0.5</f>
        <v>0</v>
      </c>
      <c r="N320" s="1">
        <f>Table1[[#This Row],[Fixed_Charges]]+Table1[[#This Row],[No_of_Extra_slabs]]*Table1[[#This Row],[Additional_Charges]]</f>
        <v>45.4</v>
      </c>
      <c r="O320">
        <f>_xlfn.XLOOKUP(Table1[[#This Row],[OrderID]],'Courier company invoice'!B:B,'Courier company invoice'!H:H)</f>
        <v>90.2</v>
      </c>
      <c r="P320" s="1">
        <f>Table1[[#This Row],[Billing Amount]]-Table1[[#This Row],[Expected charges]]</f>
        <v>44.800000000000004</v>
      </c>
      <c r="Q320" s="1" t="str" cm="1">
        <f t="array" ref="Q32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21" spans="1:17" x14ac:dyDescent="0.3">
      <c r="A321" s="3" t="s">
        <v>101</v>
      </c>
      <c r="B321" s="2">
        <f>Table1[[#This Row],[Order ID]]*1</f>
        <v>2001806828</v>
      </c>
      <c r="C321" s="2">
        <v>8904223818942</v>
      </c>
      <c r="D321">
        <v>1</v>
      </c>
      <c r="E321">
        <f>_xlfn.XLOOKUP(Table1[[#This Row],[SKU (Product Code)]],'SKU Master'!A:A,'SKU Master'!B:B)</f>
        <v>133</v>
      </c>
      <c r="F321">
        <f>Table1[[#This Row],[Product weight]]*Table1[[#This Row],[Order Qty]]</f>
        <v>133</v>
      </c>
      <c r="G321">
        <f>Table1[[#This Row],[Weight per order (g)]]/1000</f>
        <v>0.13300000000000001</v>
      </c>
      <c r="H321" s="1">
        <f>CEILING(Table1[[#This Row],[Weight per order (Kg)]],0.5)</f>
        <v>0.5</v>
      </c>
      <c r="I321" t="str">
        <f>_xlfn.XLOOKUP(Table1[[#This Row],[OrderID]],'Courier company invoice'!B:B,'Courier company invoice'!F:F)</f>
        <v>d</v>
      </c>
      <c r="J321" s="1" t="str">
        <f>_xlfn.XLOOKUP(Table1[[#This Row],[OrderID]],Table2[Order ID],Table2[Type of Shipment],"Not Found")</f>
        <v>Forward charges</v>
      </c>
      <c r="K321">
        <f>INDEX(Sheet1[],1,MATCH("fwd_"&amp;Table1[[#This Row],[Zone]]&amp;"_fixed",Sheet1[#Headers],0))</f>
        <v>45.4</v>
      </c>
      <c r="L321">
        <f>INDEX(Sheet1[],1,MATCH("fwd_"&amp;Table1[[#This Row],[Zone]]&amp;"_additional",Sheet1[#Headers],0))</f>
        <v>44.8</v>
      </c>
      <c r="M321" s="1">
        <f>(Table1[[#This Row],[Weight slab]]-0.5)/0.5</f>
        <v>0</v>
      </c>
      <c r="N321" s="1">
        <f>Table1[[#This Row],[Fixed_Charges]]+Table1[[#This Row],[No_of_Extra_slabs]]*Table1[[#This Row],[Additional_Charges]]</f>
        <v>45.4</v>
      </c>
      <c r="O321">
        <f>_xlfn.XLOOKUP(Table1[[#This Row],[OrderID]],'Courier company invoice'!B:B,'Courier company invoice'!H:H)</f>
        <v>90.2</v>
      </c>
      <c r="P321" s="1">
        <f>Table1[[#This Row],[Billing Amount]]-Table1[[#This Row],[Expected charges]]</f>
        <v>44.800000000000004</v>
      </c>
      <c r="Q321" s="1" t="str" cm="1">
        <f t="array" ref="Q32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22" spans="1:17" x14ac:dyDescent="0.3">
      <c r="A322" s="3" t="s">
        <v>101</v>
      </c>
      <c r="B322" s="2">
        <f>Table1[[#This Row],[Order ID]]*1</f>
        <v>2001806828</v>
      </c>
      <c r="C322" s="2">
        <v>8904223818850</v>
      </c>
      <c r="D322">
        <v>1</v>
      </c>
      <c r="E322">
        <f>_xlfn.XLOOKUP(Table1[[#This Row],[SKU (Product Code)]],'SKU Master'!A:A,'SKU Master'!B:B)</f>
        <v>240</v>
      </c>
      <c r="F322">
        <f>Table1[[#This Row],[Product weight]]*Table1[[#This Row],[Order Qty]]</f>
        <v>240</v>
      </c>
      <c r="G322">
        <f>Table1[[#This Row],[Weight per order (g)]]/1000</f>
        <v>0.24</v>
      </c>
      <c r="H322" s="1">
        <f>CEILING(Table1[[#This Row],[Weight per order (Kg)]],0.5)</f>
        <v>0.5</v>
      </c>
      <c r="I322" t="str">
        <f>_xlfn.XLOOKUP(Table1[[#This Row],[OrderID]],'Courier company invoice'!B:B,'Courier company invoice'!F:F)</f>
        <v>d</v>
      </c>
      <c r="J322" s="1" t="str">
        <f>_xlfn.XLOOKUP(Table1[[#This Row],[OrderID]],Table2[Order ID],Table2[Type of Shipment],"Not Found")</f>
        <v>Forward charges</v>
      </c>
      <c r="K322">
        <f>INDEX(Sheet1[],1,MATCH("fwd_"&amp;Table1[[#This Row],[Zone]]&amp;"_fixed",Sheet1[#Headers],0))</f>
        <v>45.4</v>
      </c>
      <c r="L322">
        <f>INDEX(Sheet1[],1,MATCH("fwd_"&amp;Table1[[#This Row],[Zone]]&amp;"_additional",Sheet1[#Headers],0))</f>
        <v>44.8</v>
      </c>
      <c r="M322" s="1">
        <f>(Table1[[#This Row],[Weight slab]]-0.5)/0.5</f>
        <v>0</v>
      </c>
      <c r="N322" s="1">
        <f>Table1[[#This Row],[Fixed_Charges]]+Table1[[#This Row],[No_of_Extra_slabs]]*Table1[[#This Row],[Additional_Charges]]</f>
        <v>45.4</v>
      </c>
      <c r="O322">
        <f>_xlfn.XLOOKUP(Table1[[#This Row],[OrderID]],'Courier company invoice'!B:B,'Courier company invoice'!H:H)</f>
        <v>90.2</v>
      </c>
      <c r="P322" s="1">
        <f>Table1[[#This Row],[Billing Amount]]-Table1[[#This Row],[Expected charges]]</f>
        <v>44.800000000000004</v>
      </c>
      <c r="Q322" s="1" t="str" cm="1">
        <f t="array" ref="Q32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23" spans="1:17" x14ac:dyDescent="0.3">
      <c r="A323" s="3" t="s">
        <v>102</v>
      </c>
      <c r="B323" s="2">
        <f>Table1[[#This Row],[Order ID]]*1</f>
        <v>2001806823</v>
      </c>
      <c r="C323" s="2">
        <v>8904223818706</v>
      </c>
      <c r="D323">
        <v>1</v>
      </c>
      <c r="E323">
        <f>_xlfn.XLOOKUP(Table1[[#This Row],[SKU (Product Code)]],'SKU Master'!A:A,'SKU Master'!B:B)</f>
        <v>127</v>
      </c>
      <c r="F323">
        <f>Table1[[#This Row],[Product weight]]*Table1[[#This Row],[Order Qty]]</f>
        <v>127</v>
      </c>
      <c r="G323">
        <f>Table1[[#This Row],[Weight per order (g)]]/1000</f>
        <v>0.127</v>
      </c>
      <c r="H323" s="1">
        <f>CEILING(Table1[[#This Row],[Weight per order (Kg)]],0.5)</f>
        <v>0.5</v>
      </c>
      <c r="I323" t="str">
        <f>_xlfn.XLOOKUP(Table1[[#This Row],[OrderID]],'Courier company invoice'!B:B,'Courier company invoice'!F:F)</f>
        <v>d</v>
      </c>
      <c r="J323" s="1" t="str">
        <f>_xlfn.XLOOKUP(Table1[[#This Row],[OrderID]],Table2[Order ID],Table2[Type of Shipment],"Not Found")</f>
        <v>Forward charges</v>
      </c>
      <c r="K323">
        <f>INDEX(Sheet1[],1,MATCH("fwd_"&amp;Table1[[#This Row],[Zone]]&amp;"_fixed",Sheet1[#Headers],0))</f>
        <v>45.4</v>
      </c>
      <c r="L323">
        <f>INDEX(Sheet1[],1,MATCH("fwd_"&amp;Table1[[#This Row],[Zone]]&amp;"_additional",Sheet1[#Headers],0))</f>
        <v>44.8</v>
      </c>
      <c r="M323" s="1">
        <f>(Table1[[#This Row],[Weight slab]]-0.5)/0.5</f>
        <v>0</v>
      </c>
      <c r="N323" s="1">
        <f>Table1[[#This Row],[Fixed_Charges]]+Table1[[#This Row],[No_of_Extra_slabs]]*Table1[[#This Row],[Additional_Charges]]</f>
        <v>45.4</v>
      </c>
      <c r="O323">
        <f>_xlfn.XLOOKUP(Table1[[#This Row],[OrderID]],'Courier company invoice'!B:B,'Courier company invoice'!H:H)</f>
        <v>90.2</v>
      </c>
      <c r="P323" s="1">
        <f>Table1[[#This Row],[Billing Amount]]-Table1[[#This Row],[Expected charges]]</f>
        <v>44.800000000000004</v>
      </c>
      <c r="Q323" s="1" t="str" cm="1">
        <f t="array" ref="Q32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24" spans="1:17" x14ac:dyDescent="0.3">
      <c r="A324" s="3" t="s">
        <v>103</v>
      </c>
      <c r="B324" s="2">
        <f>Table1[[#This Row],[Order ID]]*1</f>
        <v>2001806801</v>
      </c>
      <c r="C324" s="2">
        <v>8904223818850</v>
      </c>
      <c r="D324">
        <v>1</v>
      </c>
      <c r="E324">
        <f>_xlfn.XLOOKUP(Table1[[#This Row],[SKU (Product Code)]],'SKU Master'!A:A,'SKU Master'!B:B)</f>
        <v>240</v>
      </c>
      <c r="F324">
        <f>Table1[[#This Row],[Product weight]]*Table1[[#This Row],[Order Qty]]</f>
        <v>240</v>
      </c>
      <c r="G324">
        <f>Table1[[#This Row],[Weight per order (g)]]/1000</f>
        <v>0.24</v>
      </c>
      <c r="H324" s="1">
        <f>CEILING(Table1[[#This Row],[Weight per order (Kg)]],0.5)</f>
        <v>0.5</v>
      </c>
      <c r="I324" t="str">
        <f>_xlfn.XLOOKUP(Table1[[#This Row],[OrderID]],'Courier company invoice'!B:B,'Courier company invoice'!F:F)</f>
        <v>b</v>
      </c>
      <c r="J324" s="1" t="str">
        <f>_xlfn.XLOOKUP(Table1[[#This Row],[OrderID]],Table2[Order ID],Table2[Type of Shipment],"Not Found")</f>
        <v>Forward charges</v>
      </c>
      <c r="K324">
        <f>INDEX(Sheet1[],1,MATCH("fwd_"&amp;Table1[[#This Row],[Zone]]&amp;"_fixed",Sheet1[#Headers],0))</f>
        <v>33</v>
      </c>
      <c r="L324">
        <f>INDEX(Sheet1[],1,MATCH("fwd_"&amp;Table1[[#This Row],[Zone]]&amp;"_additional",Sheet1[#Headers],0))</f>
        <v>28.3</v>
      </c>
      <c r="M324" s="1">
        <f>(Table1[[#This Row],[Weight slab]]-0.5)/0.5</f>
        <v>0</v>
      </c>
      <c r="N324" s="1">
        <f>Table1[[#This Row],[Fixed_Charges]]+Table1[[#This Row],[No_of_Extra_slabs]]*Table1[[#This Row],[Additional_Charges]]</f>
        <v>33</v>
      </c>
      <c r="O324">
        <f>_xlfn.XLOOKUP(Table1[[#This Row],[OrderID]],'Courier company invoice'!B:B,'Courier company invoice'!H:H)</f>
        <v>89.6</v>
      </c>
      <c r="P324" s="1">
        <f>Table1[[#This Row],[Billing Amount]]-Table1[[#This Row],[Expected charges]]</f>
        <v>56.599999999999994</v>
      </c>
      <c r="Q324" s="1" t="str" cm="1">
        <f t="array" ref="Q32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25" spans="1:17" x14ac:dyDescent="0.3">
      <c r="A325" s="3" t="s">
        <v>103</v>
      </c>
      <c r="B325" s="2">
        <f>Table1[[#This Row],[Order ID]]*1</f>
        <v>2001806801</v>
      </c>
      <c r="C325" s="2">
        <v>8904223818683</v>
      </c>
      <c r="D325">
        <v>1</v>
      </c>
      <c r="E325">
        <f>_xlfn.XLOOKUP(Table1[[#This Row],[SKU (Product Code)]],'SKU Master'!A:A,'SKU Master'!B:B)</f>
        <v>121</v>
      </c>
      <c r="F325">
        <f>Table1[[#This Row],[Product weight]]*Table1[[#This Row],[Order Qty]]</f>
        <v>121</v>
      </c>
      <c r="G325">
        <f>Table1[[#This Row],[Weight per order (g)]]/1000</f>
        <v>0.121</v>
      </c>
      <c r="H325" s="1">
        <f>CEILING(Table1[[#This Row],[Weight per order (Kg)]],0.5)</f>
        <v>0.5</v>
      </c>
      <c r="I325" t="str">
        <f>_xlfn.XLOOKUP(Table1[[#This Row],[OrderID]],'Courier company invoice'!B:B,'Courier company invoice'!F:F)</f>
        <v>b</v>
      </c>
      <c r="J325" s="1" t="str">
        <f>_xlfn.XLOOKUP(Table1[[#This Row],[OrderID]],Table2[Order ID],Table2[Type of Shipment],"Not Found")</f>
        <v>Forward charges</v>
      </c>
      <c r="K325">
        <f>INDEX(Sheet1[],1,MATCH("fwd_"&amp;Table1[[#This Row],[Zone]]&amp;"_fixed",Sheet1[#Headers],0))</f>
        <v>33</v>
      </c>
      <c r="L325">
        <f>INDEX(Sheet1[],1,MATCH("fwd_"&amp;Table1[[#This Row],[Zone]]&amp;"_additional",Sheet1[#Headers],0))</f>
        <v>28.3</v>
      </c>
      <c r="M325" s="1">
        <f>(Table1[[#This Row],[Weight slab]]-0.5)/0.5</f>
        <v>0</v>
      </c>
      <c r="N325" s="1">
        <f>Table1[[#This Row],[Fixed_Charges]]+Table1[[#This Row],[No_of_Extra_slabs]]*Table1[[#This Row],[Additional_Charges]]</f>
        <v>33</v>
      </c>
      <c r="O325">
        <f>_xlfn.XLOOKUP(Table1[[#This Row],[OrderID]],'Courier company invoice'!B:B,'Courier company invoice'!H:H)</f>
        <v>89.6</v>
      </c>
      <c r="P325" s="1">
        <f>Table1[[#This Row],[Billing Amount]]-Table1[[#This Row],[Expected charges]]</f>
        <v>56.599999999999994</v>
      </c>
      <c r="Q325" s="1" t="str" cm="1">
        <f t="array" ref="Q32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26" spans="1:17" x14ac:dyDescent="0.3">
      <c r="A326" s="3" t="s">
        <v>104</v>
      </c>
      <c r="B326" s="2">
        <f>Table1[[#This Row],[Order ID]]*1</f>
        <v>2001806776</v>
      </c>
      <c r="C326" s="2">
        <v>8904223818706</v>
      </c>
      <c r="D326">
        <v>1</v>
      </c>
      <c r="E326">
        <f>_xlfn.XLOOKUP(Table1[[#This Row],[SKU (Product Code)]],'SKU Master'!A:A,'SKU Master'!B:B)</f>
        <v>127</v>
      </c>
      <c r="F326">
        <f>Table1[[#This Row],[Product weight]]*Table1[[#This Row],[Order Qty]]</f>
        <v>127</v>
      </c>
      <c r="G326">
        <f>Table1[[#This Row],[Weight per order (g)]]/1000</f>
        <v>0.127</v>
      </c>
      <c r="H326" s="1">
        <f>CEILING(Table1[[#This Row],[Weight per order (Kg)]],0.5)</f>
        <v>0.5</v>
      </c>
      <c r="I326" t="str">
        <f>_xlfn.XLOOKUP(Table1[[#This Row],[OrderID]],'Courier company invoice'!B:B,'Courier company invoice'!F:F)</f>
        <v>b</v>
      </c>
      <c r="J326" s="1" t="str">
        <f>_xlfn.XLOOKUP(Table1[[#This Row],[OrderID]],Table2[Order ID],Table2[Type of Shipment],"Not Found")</f>
        <v>Forward charges</v>
      </c>
      <c r="K326">
        <f>INDEX(Sheet1[],1,MATCH("fwd_"&amp;Table1[[#This Row],[Zone]]&amp;"_fixed",Sheet1[#Headers],0))</f>
        <v>33</v>
      </c>
      <c r="L326">
        <f>INDEX(Sheet1[],1,MATCH("fwd_"&amp;Table1[[#This Row],[Zone]]&amp;"_additional",Sheet1[#Headers],0))</f>
        <v>28.3</v>
      </c>
      <c r="M326" s="1">
        <f>(Table1[[#This Row],[Weight slab]]-0.5)/0.5</f>
        <v>0</v>
      </c>
      <c r="N326" s="1">
        <f>Table1[[#This Row],[Fixed_Charges]]+Table1[[#This Row],[No_of_Extra_slabs]]*Table1[[#This Row],[Additional_Charges]]</f>
        <v>33</v>
      </c>
      <c r="O326">
        <f>_xlfn.XLOOKUP(Table1[[#This Row],[OrderID]],'Courier company invoice'!B:B,'Courier company invoice'!H:H)</f>
        <v>174.5</v>
      </c>
      <c r="P326" s="1">
        <f>Table1[[#This Row],[Billing Amount]]-Table1[[#This Row],[Expected charges]]</f>
        <v>141.5</v>
      </c>
      <c r="Q326" s="1" t="str" cm="1">
        <f t="array" ref="Q32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27" spans="1:17" x14ac:dyDescent="0.3">
      <c r="A327" s="3" t="s">
        <v>104</v>
      </c>
      <c r="B327" s="2">
        <f>Table1[[#This Row],[Order ID]]*1</f>
        <v>2001806776</v>
      </c>
      <c r="C327" s="2">
        <v>8904223818638</v>
      </c>
      <c r="D327">
        <v>2</v>
      </c>
      <c r="E327">
        <f>_xlfn.XLOOKUP(Table1[[#This Row],[SKU (Product Code)]],'SKU Master'!A:A,'SKU Master'!B:B)</f>
        <v>137</v>
      </c>
      <c r="F327">
        <f>Table1[[#This Row],[Product weight]]*Table1[[#This Row],[Order Qty]]</f>
        <v>274</v>
      </c>
      <c r="G327">
        <f>Table1[[#This Row],[Weight per order (g)]]/1000</f>
        <v>0.27400000000000002</v>
      </c>
      <c r="H327" s="1">
        <f>CEILING(Table1[[#This Row],[Weight per order (Kg)]],0.5)</f>
        <v>0.5</v>
      </c>
      <c r="I327" t="str">
        <f>_xlfn.XLOOKUP(Table1[[#This Row],[OrderID]],'Courier company invoice'!B:B,'Courier company invoice'!F:F)</f>
        <v>b</v>
      </c>
      <c r="J327" s="1" t="str">
        <f>_xlfn.XLOOKUP(Table1[[#This Row],[OrderID]],Table2[Order ID],Table2[Type of Shipment],"Not Found")</f>
        <v>Forward charges</v>
      </c>
      <c r="K327">
        <f>INDEX(Sheet1[],1,MATCH("fwd_"&amp;Table1[[#This Row],[Zone]]&amp;"_fixed",Sheet1[#Headers],0))</f>
        <v>33</v>
      </c>
      <c r="L327">
        <f>INDEX(Sheet1[],1,MATCH("fwd_"&amp;Table1[[#This Row],[Zone]]&amp;"_additional",Sheet1[#Headers],0))</f>
        <v>28.3</v>
      </c>
      <c r="M327" s="1">
        <f>(Table1[[#This Row],[Weight slab]]-0.5)/0.5</f>
        <v>0</v>
      </c>
      <c r="N327" s="1">
        <f>Table1[[#This Row],[Fixed_Charges]]+Table1[[#This Row],[No_of_Extra_slabs]]*Table1[[#This Row],[Additional_Charges]]</f>
        <v>33</v>
      </c>
      <c r="O327">
        <f>_xlfn.XLOOKUP(Table1[[#This Row],[OrderID]],'Courier company invoice'!B:B,'Courier company invoice'!H:H)</f>
        <v>174.5</v>
      </c>
      <c r="P327" s="1">
        <f>Table1[[#This Row],[Billing Amount]]-Table1[[#This Row],[Expected charges]]</f>
        <v>141.5</v>
      </c>
      <c r="Q327" s="1" t="str" cm="1">
        <f t="array" ref="Q32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28" spans="1:17" x14ac:dyDescent="0.3">
      <c r="A328" s="3" t="s">
        <v>104</v>
      </c>
      <c r="B328" s="2">
        <f>Table1[[#This Row],[Order ID]]*1</f>
        <v>2001806776</v>
      </c>
      <c r="C328" s="2">
        <v>8904223819505</v>
      </c>
      <c r="D328">
        <v>1</v>
      </c>
      <c r="E328">
        <f>_xlfn.XLOOKUP(Table1[[#This Row],[SKU (Product Code)]],'SKU Master'!A:A,'SKU Master'!B:B)</f>
        <v>210</v>
      </c>
      <c r="F328">
        <f>Table1[[#This Row],[Product weight]]*Table1[[#This Row],[Order Qty]]</f>
        <v>210</v>
      </c>
      <c r="G328">
        <f>Table1[[#This Row],[Weight per order (g)]]/1000</f>
        <v>0.21</v>
      </c>
      <c r="H328" s="1">
        <f>CEILING(Table1[[#This Row],[Weight per order (Kg)]],0.5)</f>
        <v>0.5</v>
      </c>
      <c r="I328" t="str">
        <f>_xlfn.XLOOKUP(Table1[[#This Row],[OrderID]],'Courier company invoice'!B:B,'Courier company invoice'!F:F)</f>
        <v>b</v>
      </c>
      <c r="J328" s="1" t="str">
        <f>_xlfn.XLOOKUP(Table1[[#This Row],[OrderID]],Table2[Order ID],Table2[Type of Shipment],"Not Found")</f>
        <v>Forward charges</v>
      </c>
      <c r="K328">
        <f>INDEX(Sheet1[],1,MATCH("fwd_"&amp;Table1[[#This Row],[Zone]]&amp;"_fixed",Sheet1[#Headers],0))</f>
        <v>33</v>
      </c>
      <c r="L328">
        <f>INDEX(Sheet1[],1,MATCH("fwd_"&amp;Table1[[#This Row],[Zone]]&amp;"_additional",Sheet1[#Headers],0))</f>
        <v>28.3</v>
      </c>
      <c r="M328" s="1">
        <f>(Table1[[#This Row],[Weight slab]]-0.5)/0.5</f>
        <v>0</v>
      </c>
      <c r="N328" s="1">
        <f>Table1[[#This Row],[Fixed_Charges]]+Table1[[#This Row],[No_of_Extra_slabs]]*Table1[[#This Row],[Additional_Charges]]</f>
        <v>33</v>
      </c>
      <c r="O328">
        <f>_xlfn.XLOOKUP(Table1[[#This Row],[OrderID]],'Courier company invoice'!B:B,'Courier company invoice'!H:H)</f>
        <v>174.5</v>
      </c>
      <c r="P328" s="1">
        <f>Table1[[#This Row],[Billing Amount]]-Table1[[#This Row],[Expected charges]]</f>
        <v>141.5</v>
      </c>
      <c r="Q328" s="1" t="str" cm="1">
        <f t="array" ref="Q32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29" spans="1:17" x14ac:dyDescent="0.3">
      <c r="A329" s="3" t="s">
        <v>105</v>
      </c>
      <c r="B329" s="2">
        <f>Table1[[#This Row],[Order ID]]*1</f>
        <v>2001806768</v>
      </c>
      <c r="C329" s="2">
        <v>8904223819512</v>
      </c>
      <c r="D329">
        <v>4</v>
      </c>
      <c r="E329">
        <f>_xlfn.XLOOKUP(Table1[[#This Row],[SKU (Product Code)]],'SKU Master'!A:A,'SKU Master'!B:B)</f>
        <v>210</v>
      </c>
      <c r="F329">
        <f>Table1[[#This Row],[Product weight]]*Table1[[#This Row],[Order Qty]]</f>
        <v>840</v>
      </c>
      <c r="G329">
        <f>Table1[[#This Row],[Weight per order (g)]]/1000</f>
        <v>0.84</v>
      </c>
      <c r="H329" s="1">
        <f>CEILING(Table1[[#This Row],[Weight per order (Kg)]],0.5)</f>
        <v>1</v>
      </c>
      <c r="I329" t="str">
        <f>_xlfn.XLOOKUP(Table1[[#This Row],[OrderID]],'Courier company invoice'!B:B,'Courier company invoice'!F:F)</f>
        <v>d</v>
      </c>
      <c r="J329" s="1" t="str">
        <f>_xlfn.XLOOKUP(Table1[[#This Row],[OrderID]],Table2[Order ID],Table2[Type of Shipment],"Not Found")</f>
        <v>Forward charges</v>
      </c>
      <c r="K329">
        <f>INDEX(Sheet1[],1,MATCH("fwd_"&amp;Table1[[#This Row],[Zone]]&amp;"_fixed",Sheet1[#Headers],0))</f>
        <v>45.4</v>
      </c>
      <c r="L329">
        <f>INDEX(Sheet1[],1,MATCH("fwd_"&amp;Table1[[#This Row],[Zone]]&amp;"_additional",Sheet1[#Headers],0))</f>
        <v>44.8</v>
      </c>
      <c r="M329" s="1">
        <f>(Table1[[#This Row],[Weight slab]]-0.5)/0.5</f>
        <v>1</v>
      </c>
      <c r="N329" s="1">
        <f>Table1[[#This Row],[Fixed_Charges]]+Table1[[#This Row],[No_of_Extra_slabs]]*Table1[[#This Row],[Additional_Charges]]</f>
        <v>90.199999999999989</v>
      </c>
      <c r="O329">
        <f>_xlfn.XLOOKUP(Table1[[#This Row],[OrderID]],'Courier company invoice'!B:B,'Courier company invoice'!H:H)</f>
        <v>135</v>
      </c>
      <c r="P329" s="1">
        <f>Table1[[#This Row],[Billing Amount]]-Table1[[#This Row],[Expected charges]]</f>
        <v>44.800000000000011</v>
      </c>
      <c r="Q329" s="1" t="str" cm="1">
        <f t="array" ref="Q32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30" spans="1:17" x14ac:dyDescent="0.3">
      <c r="A330" s="3" t="s">
        <v>106</v>
      </c>
      <c r="B330" s="2">
        <f>Table1[[#This Row],[Order ID]]*1</f>
        <v>2001806735</v>
      </c>
      <c r="C330" s="2">
        <v>8904223818706</v>
      </c>
      <c r="D330">
        <v>1</v>
      </c>
      <c r="E330">
        <f>_xlfn.XLOOKUP(Table1[[#This Row],[SKU (Product Code)]],'SKU Master'!A:A,'SKU Master'!B:B)</f>
        <v>127</v>
      </c>
      <c r="F330">
        <f>Table1[[#This Row],[Product weight]]*Table1[[#This Row],[Order Qty]]</f>
        <v>127</v>
      </c>
      <c r="G330">
        <f>Table1[[#This Row],[Weight per order (g)]]/1000</f>
        <v>0.127</v>
      </c>
      <c r="H330" s="1">
        <f>CEILING(Table1[[#This Row],[Weight per order (Kg)]],0.5)</f>
        <v>0.5</v>
      </c>
      <c r="I330" t="str">
        <f>_xlfn.XLOOKUP(Table1[[#This Row],[OrderID]],'Courier company invoice'!B:B,'Courier company invoice'!F:F)</f>
        <v>d</v>
      </c>
      <c r="J330" s="1" t="str">
        <f>_xlfn.XLOOKUP(Table1[[#This Row],[OrderID]],Table2[Order ID],Table2[Type of Shipment],"Not Found")</f>
        <v>Forward charges</v>
      </c>
      <c r="K330">
        <f>INDEX(Sheet1[],1,MATCH("fwd_"&amp;Table1[[#This Row],[Zone]]&amp;"_fixed",Sheet1[#Headers],0))</f>
        <v>45.4</v>
      </c>
      <c r="L330">
        <f>INDEX(Sheet1[],1,MATCH("fwd_"&amp;Table1[[#This Row],[Zone]]&amp;"_additional",Sheet1[#Headers],0))</f>
        <v>44.8</v>
      </c>
      <c r="M330" s="1">
        <f>(Table1[[#This Row],[Weight slab]]-0.5)/0.5</f>
        <v>0</v>
      </c>
      <c r="N330" s="1">
        <f>Table1[[#This Row],[Fixed_Charges]]+Table1[[#This Row],[No_of_Extra_slabs]]*Table1[[#This Row],[Additional_Charges]]</f>
        <v>45.4</v>
      </c>
      <c r="O330">
        <f>_xlfn.XLOOKUP(Table1[[#This Row],[OrderID]],'Courier company invoice'!B:B,'Courier company invoice'!H:H)</f>
        <v>90.2</v>
      </c>
      <c r="P330" s="1">
        <f>Table1[[#This Row],[Billing Amount]]-Table1[[#This Row],[Expected charges]]</f>
        <v>44.800000000000004</v>
      </c>
      <c r="Q330" s="1" t="str" cm="1">
        <f t="array" ref="Q33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31" spans="1:17" x14ac:dyDescent="0.3">
      <c r="A331" s="3" t="s">
        <v>106</v>
      </c>
      <c r="B331" s="2">
        <f>Table1[[#This Row],[Order ID]]*1</f>
        <v>2001806735</v>
      </c>
      <c r="C331" s="2">
        <v>8904223818942</v>
      </c>
      <c r="D331">
        <v>1</v>
      </c>
      <c r="E331">
        <f>_xlfn.XLOOKUP(Table1[[#This Row],[SKU (Product Code)]],'SKU Master'!A:A,'SKU Master'!B:B)</f>
        <v>133</v>
      </c>
      <c r="F331">
        <f>Table1[[#This Row],[Product weight]]*Table1[[#This Row],[Order Qty]]</f>
        <v>133</v>
      </c>
      <c r="G331">
        <f>Table1[[#This Row],[Weight per order (g)]]/1000</f>
        <v>0.13300000000000001</v>
      </c>
      <c r="H331" s="1">
        <f>CEILING(Table1[[#This Row],[Weight per order (Kg)]],0.5)</f>
        <v>0.5</v>
      </c>
      <c r="I331" t="str">
        <f>_xlfn.XLOOKUP(Table1[[#This Row],[OrderID]],'Courier company invoice'!B:B,'Courier company invoice'!F:F)</f>
        <v>d</v>
      </c>
      <c r="J331" s="1" t="str">
        <f>_xlfn.XLOOKUP(Table1[[#This Row],[OrderID]],Table2[Order ID],Table2[Type of Shipment],"Not Found")</f>
        <v>Forward charges</v>
      </c>
      <c r="K331">
        <f>INDEX(Sheet1[],1,MATCH("fwd_"&amp;Table1[[#This Row],[Zone]]&amp;"_fixed",Sheet1[#Headers],0))</f>
        <v>45.4</v>
      </c>
      <c r="L331">
        <f>INDEX(Sheet1[],1,MATCH("fwd_"&amp;Table1[[#This Row],[Zone]]&amp;"_additional",Sheet1[#Headers],0))</f>
        <v>44.8</v>
      </c>
      <c r="M331" s="1">
        <f>(Table1[[#This Row],[Weight slab]]-0.5)/0.5</f>
        <v>0</v>
      </c>
      <c r="N331" s="1">
        <f>Table1[[#This Row],[Fixed_Charges]]+Table1[[#This Row],[No_of_Extra_slabs]]*Table1[[#This Row],[Additional_Charges]]</f>
        <v>45.4</v>
      </c>
      <c r="O331">
        <f>_xlfn.XLOOKUP(Table1[[#This Row],[OrderID]],'Courier company invoice'!B:B,'Courier company invoice'!H:H)</f>
        <v>90.2</v>
      </c>
      <c r="P331" s="1">
        <f>Table1[[#This Row],[Billing Amount]]-Table1[[#This Row],[Expected charges]]</f>
        <v>44.800000000000004</v>
      </c>
      <c r="Q331" s="1" t="str" cm="1">
        <f t="array" ref="Q33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32" spans="1:17" x14ac:dyDescent="0.3">
      <c r="A332" s="3" t="s">
        <v>106</v>
      </c>
      <c r="B332" s="2">
        <f>Table1[[#This Row],[Order ID]]*1</f>
        <v>2001806735</v>
      </c>
      <c r="C332" s="2">
        <v>8904223818850</v>
      </c>
      <c r="D332">
        <v>1</v>
      </c>
      <c r="E332">
        <f>_xlfn.XLOOKUP(Table1[[#This Row],[SKU (Product Code)]],'SKU Master'!A:A,'SKU Master'!B:B)</f>
        <v>240</v>
      </c>
      <c r="F332">
        <f>Table1[[#This Row],[Product weight]]*Table1[[#This Row],[Order Qty]]</f>
        <v>240</v>
      </c>
      <c r="G332">
        <f>Table1[[#This Row],[Weight per order (g)]]/1000</f>
        <v>0.24</v>
      </c>
      <c r="H332" s="1">
        <f>CEILING(Table1[[#This Row],[Weight per order (Kg)]],0.5)</f>
        <v>0.5</v>
      </c>
      <c r="I332" t="str">
        <f>_xlfn.XLOOKUP(Table1[[#This Row],[OrderID]],'Courier company invoice'!B:B,'Courier company invoice'!F:F)</f>
        <v>d</v>
      </c>
      <c r="J332" s="1" t="str">
        <f>_xlfn.XLOOKUP(Table1[[#This Row],[OrderID]],Table2[Order ID],Table2[Type of Shipment],"Not Found")</f>
        <v>Forward charges</v>
      </c>
      <c r="K332">
        <f>INDEX(Sheet1[],1,MATCH("fwd_"&amp;Table1[[#This Row],[Zone]]&amp;"_fixed",Sheet1[#Headers],0))</f>
        <v>45.4</v>
      </c>
      <c r="L332">
        <f>INDEX(Sheet1[],1,MATCH("fwd_"&amp;Table1[[#This Row],[Zone]]&amp;"_additional",Sheet1[#Headers],0))</f>
        <v>44.8</v>
      </c>
      <c r="M332" s="1">
        <f>(Table1[[#This Row],[Weight slab]]-0.5)/0.5</f>
        <v>0</v>
      </c>
      <c r="N332" s="1">
        <f>Table1[[#This Row],[Fixed_Charges]]+Table1[[#This Row],[No_of_Extra_slabs]]*Table1[[#This Row],[Additional_Charges]]</f>
        <v>45.4</v>
      </c>
      <c r="O332">
        <f>_xlfn.XLOOKUP(Table1[[#This Row],[OrderID]],'Courier company invoice'!B:B,'Courier company invoice'!H:H)</f>
        <v>90.2</v>
      </c>
      <c r="P332" s="1">
        <f>Table1[[#This Row],[Billing Amount]]-Table1[[#This Row],[Expected charges]]</f>
        <v>44.800000000000004</v>
      </c>
      <c r="Q332" s="1" t="str" cm="1">
        <f t="array" ref="Q33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33" spans="1:17" x14ac:dyDescent="0.3">
      <c r="A333" s="3" t="s">
        <v>107</v>
      </c>
      <c r="B333" s="2">
        <f>Table1[[#This Row],[Order ID]]*1</f>
        <v>2001806733</v>
      </c>
      <c r="C333" s="2">
        <v>8904223819031</v>
      </c>
      <c r="D333">
        <v>1</v>
      </c>
      <c r="E333">
        <f>_xlfn.XLOOKUP(Table1[[#This Row],[SKU (Product Code)]],'SKU Master'!A:A,'SKU Master'!B:B)</f>
        <v>112</v>
      </c>
      <c r="F333">
        <f>Table1[[#This Row],[Product weight]]*Table1[[#This Row],[Order Qty]]</f>
        <v>112</v>
      </c>
      <c r="G333">
        <f>Table1[[#This Row],[Weight per order (g)]]/1000</f>
        <v>0.112</v>
      </c>
      <c r="H333" s="1">
        <f>CEILING(Table1[[#This Row],[Weight per order (Kg)]],0.5)</f>
        <v>0.5</v>
      </c>
      <c r="I333" t="str">
        <f>_xlfn.XLOOKUP(Table1[[#This Row],[OrderID]],'Courier company invoice'!B:B,'Courier company invoice'!F:F)</f>
        <v>d</v>
      </c>
      <c r="J333" s="1" t="str">
        <f>_xlfn.XLOOKUP(Table1[[#This Row],[OrderID]],Table2[Order ID],Table2[Type of Shipment],"Not Found")</f>
        <v>Forward charges</v>
      </c>
      <c r="K333">
        <f>INDEX(Sheet1[],1,MATCH("fwd_"&amp;Table1[[#This Row],[Zone]]&amp;"_fixed",Sheet1[#Headers],0))</f>
        <v>45.4</v>
      </c>
      <c r="L333">
        <f>INDEX(Sheet1[],1,MATCH("fwd_"&amp;Table1[[#This Row],[Zone]]&amp;"_additional",Sheet1[#Headers],0))</f>
        <v>44.8</v>
      </c>
      <c r="M333" s="1">
        <f>(Table1[[#This Row],[Weight slab]]-0.5)/0.5</f>
        <v>0</v>
      </c>
      <c r="N333" s="1">
        <f>Table1[[#This Row],[Fixed_Charges]]+Table1[[#This Row],[No_of_Extra_slabs]]*Table1[[#This Row],[Additional_Charges]]</f>
        <v>45.4</v>
      </c>
      <c r="O333">
        <f>_xlfn.XLOOKUP(Table1[[#This Row],[OrderID]],'Courier company invoice'!B:B,'Courier company invoice'!H:H)</f>
        <v>135</v>
      </c>
      <c r="P333" s="1">
        <f>Table1[[#This Row],[Billing Amount]]-Table1[[#This Row],[Expected charges]]</f>
        <v>89.6</v>
      </c>
      <c r="Q333" s="1" t="str" cm="1">
        <f t="array" ref="Q33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34" spans="1:17" x14ac:dyDescent="0.3">
      <c r="A334" s="3" t="s">
        <v>107</v>
      </c>
      <c r="B334" s="2">
        <f>Table1[[#This Row],[Order ID]]*1</f>
        <v>2001806733</v>
      </c>
      <c r="C334" s="2">
        <v>8904223818430</v>
      </c>
      <c r="D334">
        <v>1</v>
      </c>
      <c r="E334">
        <f>_xlfn.XLOOKUP(Table1[[#This Row],[SKU (Product Code)]],'SKU Master'!A:A,'SKU Master'!B:B)</f>
        <v>165</v>
      </c>
      <c r="F334">
        <f>Table1[[#This Row],[Product weight]]*Table1[[#This Row],[Order Qty]]</f>
        <v>165</v>
      </c>
      <c r="G334">
        <f>Table1[[#This Row],[Weight per order (g)]]/1000</f>
        <v>0.16500000000000001</v>
      </c>
      <c r="H334" s="1">
        <f>CEILING(Table1[[#This Row],[Weight per order (Kg)]],0.5)</f>
        <v>0.5</v>
      </c>
      <c r="I334" t="str">
        <f>_xlfn.XLOOKUP(Table1[[#This Row],[OrderID]],'Courier company invoice'!B:B,'Courier company invoice'!F:F)</f>
        <v>d</v>
      </c>
      <c r="J334" s="1" t="str">
        <f>_xlfn.XLOOKUP(Table1[[#This Row],[OrderID]],Table2[Order ID],Table2[Type of Shipment],"Not Found")</f>
        <v>Forward charges</v>
      </c>
      <c r="K334">
        <f>INDEX(Sheet1[],1,MATCH("fwd_"&amp;Table1[[#This Row],[Zone]]&amp;"_fixed",Sheet1[#Headers],0))</f>
        <v>45.4</v>
      </c>
      <c r="L334">
        <f>INDEX(Sheet1[],1,MATCH("fwd_"&amp;Table1[[#This Row],[Zone]]&amp;"_additional",Sheet1[#Headers],0))</f>
        <v>44.8</v>
      </c>
      <c r="M334" s="1">
        <f>(Table1[[#This Row],[Weight slab]]-0.5)/0.5</f>
        <v>0</v>
      </c>
      <c r="N334" s="1">
        <f>Table1[[#This Row],[Fixed_Charges]]+Table1[[#This Row],[No_of_Extra_slabs]]*Table1[[#This Row],[Additional_Charges]]</f>
        <v>45.4</v>
      </c>
      <c r="O334">
        <f>_xlfn.XLOOKUP(Table1[[#This Row],[OrderID]],'Courier company invoice'!B:B,'Courier company invoice'!H:H)</f>
        <v>135</v>
      </c>
      <c r="P334" s="1">
        <f>Table1[[#This Row],[Billing Amount]]-Table1[[#This Row],[Expected charges]]</f>
        <v>89.6</v>
      </c>
      <c r="Q334" s="1" t="str" cm="1">
        <f t="array" ref="Q33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35" spans="1:17" x14ac:dyDescent="0.3">
      <c r="A335" s="3" t="s">
        <v>107</v>
      </c>
      <c r="B335" s="2">
        <f>Table1[[#This Row],[Order ID]]*1</f>
        <v>2001806733</v>
      </c>
      <c r="C335" s="2">
        <v>8904223818850</v>
      </c>
      <c r="D335">
        <v>1</v>
      </c>
      <c r="E335">
        <f>_xlfn.XLOOKUP(Table1[[#This Row],[SKU (Product Code)]],'SKU Master'!A:A,'SKU Master'!B:B)</f>
        <v>240</v>
      </c>
      <c r="F335">
        <f>Table1[[#This Row],[Product weight]]*Table1[[#This Row],[Order Qty]]</f>
        <v>240</v>
      </c>
      <c r="G335">
        <f>Table1[[#This Row],[Weight per order (g)]]/1000</f>
        <v>0.24</v>
      </c>
      <c r="H335" s="1">
        <f>CEILING(Table1[[#This Row],[Weight per order (Kg)]],0.5)</f>
        <v>0.5</v>
      </c>
      <c r="I335" t="str">
        <f>_xlfn.XLOOKUP(Table1[[#This Row],[OrderID]],'Courier company invoice'!B:B,'Courier company invoice'!F:F)</f>
        <v>d</v>
      </c>
      <c r="J335" s="1" t="str">
        <f>_xlfn.XLOOKUP(Table1[[#This Row],[OrderID]],Table2[Order ID],Table2[Type of Shipment],"Not Found")</f>
        <v>Forward charges</v>
      </c>
      <c r="K335">
        <f>INDEX(Sheet1[],1,MATCH("fwd_"&amp;Table1[[#This Row],[Zone]]&amp;"_fixed",Sheet1[#Headers],0))</f>
        <v>45.4</v>
      </c>
      <c r="L335">
        <f>INDEX(Sheet1[],1,MATCH("fwd_"&amp;Table1[[#This Row],[Zone]]&amp;"_additional",Sheet1[#Headers],0))</f>
        <v>44.8</v>
      </c>
      <c r="M335" s="1">
        <f>(Table1[[#This Row],[Weight slab]]-0.5)/0.5</f>
        <v>0</v>
      </c>
      <c r="N335" s="1">
        <f>Table1[[#This Row],[Fixed_Charges]]+Table1[[#This Row],[No_of_Extra_slabs]]*Table1[[#This Row],[Additional_Charges]]</f>
        <v>45.4</v>
      </c>
      <c r="O335">
        <f>_xlfn.XLOOKUP(Table1[[#This Row],[OrderID]],'Courier company invoice'!B:B,'Courier company invoice'!H:H)</f>
        <v>135</v>
      </c>
      <c r="P335" s="1">
        <f>Table1[[#This Row],[Billing Amount]]-Table1[[#This Row],[Expected charges]]</f>
        <v>89.6</v>
      </c>
      <c r="Q335" s="1" t="str" cm="1">
        <f t="array" ref="Q33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36" spans="1:17" x14ac:dyDescent="0.3">
      <c r="A336" s="3" t="s">
        <v>107</v>
      </c>
      <c r="B336" s="2">
        <f>Table1[[#This Row],[Order ID]]*1</f>
        <v>2001806733</v>
      </c>
      <c r="C336" s="2">
        <v>8904223819512</v>
      </c>
      <c r="D336">
        <v>1</v>
      </c>
      <c r="E336">
        <f>_xlfn.XLOOKUP(Table1[[#This Row],[SKU (Product Code)]],'SKU Master'!A:A,'SKU Master'!B:B)</f>
        <v>210</v>
      </c>
      <c r="F336">
        <f>Table1[[#This Row],[Product weight]]*Table1[[#This Row],[Order Qty]]</f>
        <v>210</v>
      </c>
      <c r="G336">
        <f>Table1[[#This Row],[Weight per order (g)]]/1000</f>
        <v>0.21</v>
      </c>
      <c r="H336" s="1">
        <f>CEILING(Table1[[#This Row],[Weight per order (Kg)]],0.5)</f>
        <v>0.5</v>
      </c>
      <c r="I336" t="str">
        <f>_xlfn.XLOOKUP(Table1[[#This Row],[OrderID]],'Courier company invoice'!B:B,'Courier company invoice'!F:F)</f>
        <v>d</v>
      </c>
      <c r="J336" s="1" t="str">
        <f>_xlfn.XLOOKUP(Table1[[#This Row],[OrderID]],Table2[Order ID],Table2[Type of Shipment],"Not Found")</f>
        <v>Forward charges</v>
      </c>
      <c r="K336">
        <f>INDEX(Sheet1[],1,MATCH("fwd_"&amp;Table1[[#This Row],[Zone]]&amp;"_fixed",Sheet1[#Headers],0))</f>
        <v>45.4</v>
      </c>
      <c r="L336">
        <f>INDEX(Sheet1[],1,MATCH("fwd_"&amp;Table1[[#This Row],[Zone]]&amp;"_additional",Sheet1[#Headers],0))</f>
        <v>44.8</v>
      </c>
      <c r="M336" s="1">
        <f>(Table1[[#This Row],[Weight slab]]-0.5)/0.5</f>
        <v>0</v>
      </c>
      <c r="N336" s="1">
        <f>Table1[[#This Row],[Fixed_Charges]]+Table1[[#This Row],[No_of_Extra_slabs]]*Table1[[#This Row],[Additional_Charges]]</f>
        <v>45.4</v>
      </c>
      <c r="O336">
        <f>_xlfn.XLOOKUP(Table1[[#This Row],[OrderID]],'Courier company invoice'!B:B,'Courier company invoice'!H:H)</f>
        <v>135</v>
      </c>
      <c r="P336" s="1">
        <f>Table1[[#This Row],[Billing Amount]]-Table1[[#This Row],[Expected charges]]</f>
        <v>89.6</v>
      </c>
      <c r="Q336" s="1" t="str" cm="1">
        <f t="array" ref="Q33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37" spans="1:17" x14ac:dyDescent="0.3">
      <c r="A337" s="3" t="s">
        <v>107</v>
      </c>
      <c r="B337" s="2">
        <f>Table1[[#This Row],[Order ID]]*1</f>
        <v>2001806733</v>
      </c>
      <c r="C337" s="2">
        <v>8904223819468</v>
      </c>
      <c r="D337">
        <v>1</v>
      </c>
      <c r="E337">
        <f>_xlfn.XLOOKUP(Table1[[#This Row],[SKU (Product Code)]],'SKU Master'!A:A,'SKU Master'!B:B)</f>
        <v>240</v>
      </c>
      <c r="F337">
        <f>Table1[[#This Row],[Product weight]]*Table1[[#This Row],[Order Qty]]</f>
        <v>240</v>
      </c>
      <c r="G337">
        <f>Table1[[#This Row],[Weight per order (g)]]/1000</f>
        <v>0.24</v>
      </c>
      <c r="H337" s="1">
        <f>CEILING(Table1[[#This Row],[Weight per order (Kg)]],0.5)</f>
        <v>0.5</v>
      </c>
      <c r="I337" t="str">
        <f>_xlfn.XLOOKUP(Table1[[#This Row],[OrderID]],'Courier company invoice'!B:B,'Courier company invoice'!F:F)</f>
        <v>d</v>
      </c>
      <c r="J337" s="1" t="str">
        <f>_xlfn.XLOOKUP(Table1[[#This Row],[OrderID]],Table2[Order ID],Table2[Type of Shipment],"Not Found")</f>
        <v>Forward charges</v>
      </c>
      <c r="K337">
        <f>INDEX(Sheet1[],1,MATCH("fwd_"&amp;Table1[[#This Row],[Zone]]&amp;"_fixed",Sheet1[#Headers],0))</f>
        <v>45.4</v>
      </c>
      <c r="L337">
        <f>INDEX(Sheet1[],1,MATCH("fwd_"&amp;Table1[[#This Row],[Zone]]&amp;"_additional",Sheet1[#Headers],0))</f>
        <v>44.8</v>
      </c>
      <c r="M337" s="1">
        <f>(Table1[[#This Row],[Weight slab]]-0.5)/0.5</f>
        <v>0</v>
      </c>
      <c r="N337" s="1">
        <f>Table1[[#This Row],[Fixed_Charges]]+Table1[[#This Row],[No_of_Extra_slabs]]*Table1[[#This Row],[Additional_Charges]]</f>
        <v>45.4</v>
      </c>
      <c r="O337">
        <f>_xlfn.XLOOKUP(Table1[[#This Row],[OrderID]],'Courier company invoice'!B:B,'Courier company invoice'!H:H)</f>
        <v>135</v>
      </c>
      <c r="P337" s="1">
        <f>Table1[[#This Row],[Billing Amount]]-Table1[[#This Row],[Expected charges]]</f>
        <v>89.6</v>
      </c>
      <c r="Q337" s="1" t="str" cm="1">
        <f t="array" ref="Q33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38" spans="1:17" x14ac:dyDescent="0.3">
      <c r="A338" s="3" t="s">
        <v>108</v>
      </c>
      <c r="B338" s="2">
        <f>Table1[[#This Row],[Order ID]]*1</f>
        <v>2001806726</v>
      </c>
      <c r="C338" s="2">
        <v>8904223818706</v>
      </c>
      <c r="D338">
        <v>1</v>
      </c>
      <c r="E338">
        <f>_xlfn.XLOOKUP(Table1[[#This Row],[SKU (Product Code)]],'SKU Master'!A:A,'SKU Master'!B:B)</f>
        <v>127</v>
      </c>
      <c r="F338">
        <f>Table1[[#This Row],[Product weight]]*Table1[[#This Row],[Order Qty]]</f>
        <v>127</v>
      </c>
      <c r="G338">
        <f>Table1[[#This Row],[Weight per order (g)]]/1000</f>
        <v>0.127</v>
      </c>
      <c r="H338" s="1">
        <f>CEILING(Table1[[#This Row],[Weight per order (Kg)]],0.5)</f>
        <v>0.5</v>
      </c>
      <c r="I338" t="str">
        <f>_xlfn.XLOOKUP(Table1[[#This Row],[OrderID]],'Courier company invoice'!B:B,'Courier company invoice'!F:F)</f>
        <v>d</v>
      </c>
      <c r="J338" s="1" t="str">
        <f>_xlfn.XLOOKUP(Table1[[#This Row],[OrderID]],Table2[Order ID],Table2[Type of Shipment],"Not Found")</f>
        <v>Forward charges</v>
      </c>
      <c r="K338">
        <f>INDEX(Sheet1[],1,MATCH("fwd_"&amp;Table1[[#This Row],[Zone]]&amp;"_fixed",Sheet1[#Headers],0))</f>
        <v>45.4</v>
      </c>
      <c r="L338">
        <f>INDEX(Sheet1[],1,MATCH("fwd_"&amp;Table1[[#This Row],[Zone]]&amp;"_additional",Sheet1[#Headers],0))</f>
        <v>44.8</v>
      </c>
      <c r="M338" s="1">
        <f>(Table1[[#This Row],[Weight slab]]-0.5)/0.5</f>
        <v>0</v>
      </c>
      <c r="N338" s="1">
        <f>Table1[[#This Row],[Fixed_Charges]]+Table1[[#This Row],[No_of_Extra_slabs]]*Table1[[#This Row],[Additional_Charges]]</f>
        <v>45.4</v>
      </c>
      <c r="O338">
        <f>_xlfn.XLOOKUP(Table1[[#This Row],[OrderID]],'Courier company invoice'!B:B,'Courier company invoice'!H:H)</f>
        <v>90.2</v>
      </c>
      <c r="P338" s="1">
        <f>Table1[[#This Row],[Billing Amount]]-Table1[[#This Row],[Expected charges]]</f>
        <v>44.800000000000004</v>
      </c>
      <c r="Q338" s="1" t="str" cm="1">
        <f t="array" ref="Q33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39" spans="1:17" x14ac:dyDescent="0.3">
      <c r="A339" s="3" t="s">
        <v>108</v>
      </c>
      <c r="B339" s="2">
        <f>Table1[[#This Row],[Order ID]]*1</f>
        <v>2001806726</v>
      </c>
      <c r="C339" s="2">
        <v>8904223818942</v>
      </c>
      <c r="D339">
        <v>1</v>
      </c>
      <c r="E339">
        <f>_xlfn.XLOOKUP(Table1[[#This Row],[SKU (Product Code)]],'SKU Master'!A:A,'SKU Master'!B:B)</f>
        <v>133</v>
      </c>
      <c r="F339">
        <f>Table1[[#This Row],[Product weight]]*Table1[[#This Row],[Order Qty]]</f>
        <v>133</v>
      </c>
      <c r="G339">
        <f>Table1[[#This Row],[Weight per order (g)]]/1000</f>
        <v>0.13300000000000001</v>
      </c>
      <c r="H339" s="1">
        <f>CEILING(Table1[[#This Row],[Weight per order (Kg)]],0.5)</f>
        <v>0.5</v>
      </c>
      <c r="I339" t="str">
        <f>_xlfn.XLOOKUP(Table1[[#This Row],[OrderID]],'Courier company invoice'!B:B,'Courier company invoice'!F:F)</f>
        <v>d</v>
      </c>
      <c r="J339" s="1" t="str">
        <f>_xlfn.XLOOKUP(Table1[[#This Row],[OrderID]],Table2[Order ID],Table2[Type of Shipment],"Not Found")</f>
        <v>Forward charges</v>
      </c>
      <c r="K339">
        <f>INDEX(Sheet1[],1,MATCH("fwd_"&amp;Table1[[#This Row],[Zone]]&amp;"_fixed",Sheet1[#Headers],0))</f>
        <v>45.4</v>
      </c>
      <c r="L339">
        <f>INDEX(Sheet1[],1,MATCH("fwd_"&amp;Table1[[#This Row],[Zone]]&amp;"_additional",Sheet1[#Headers],0))</f>
        <v>44.8</v>
      </c>
      <c r="M339" s="1">
        <f>(Table1[[#This Row],[Weight slab]]-0.5)/0.5</f>
        <v>0</v>
      </c>
      <c r="N339" s="1">
        <f>Table1[[#This Row],[Fixed_Charges]]+Table1[[#This Row],[No_of_Extra_slabs]]*Table1[[#This Row],[Additional_Charges]]</f>
        <v>45.4</v>
      </c>
      <c r="O339">
        <f>_xlfn.XLOOKUP(Table1[[#This Row],[OrderID]],'Courier company invoice'!B:B,'Courier company invoice'!H:H)</f>
        <v>90.2</v>
      </c>
      <c r="P339" s="1">
        <f>Table1[[#This Row],[Billing Amount]]-Table1[[#This Row],[Expected charges]]</f>
        <v>44.800000000000004</v>
      </c>
      <c r="Q339" s="1" t="str" cm="1">
        <f t="array" ref="Q33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40" spans="1:17" x14ac:dyDescent="0.3">
      <c r="A340" s="3" t="s">
        <v>108</v>
      </c>
      <c r="B340" s="2">
        <f>Table1[[#This Row],[Order ID]]*1</f>
        <v>2001806726</v>
      </c>
      <c r="C340" s="2">
        <v>8904223818850</v>
      </c>
      <c r="D340">
        <v>1</v>
      </c>
      <c r="E340">
        <f>_xlfn.XLOOKUP(Table1[[#This Row],[SKU (Product Code)]],'SKU Master'!A:A,'SKU Master'!B:B)</f>
        <v>240</v>
      </c>
      <c r="F340">
        <f>Table1[[#This Row],[Product weight]]*Table1[[#This Row],[Order Qty]]</f>
        <v>240</v>
      </c>
      <c r="G340">
        <f>Table1[[#This Row],[Weight per order (g)]]/1000</f>
        <v>0.24</v>
      </c>
      <c r="H340" s="1">
        <f>CEILING(Table1[[#This Row],[Weight per order (Kg)]],0.5)</f>
        <v>0.5</v>
      </c>
      <c r="I340" t="str">
        <f>_xlfn.XLOOKUP(Table1[[#This Row],[OrderID]],'Courier company invoice'!B:B,'Courier company invoice'!F:F)</f>
        <v>d</v>
      </c>
      <c r="J340" s="1" t="str">
        <f>_xlfn.XLOOKUP(Table1[[#This Row],[OrderID]],Table2[Order ID],Table2[Type of Shipment],"Not Found")</f>
        <v>Forward charges</v>
      </c>
      <c r="K340">
        <f>INDEX(Sheet1[],1,MATCH("fwd_"&amp;Table1[[#This Row],[Zone]]&amp;"_fixed",Sheet1[#Headers],0))</f>
        <v>45.4</v>
      </c>
      <c r="L340">
        <f>INDEX(Sheet1[],1,MATCH("fwd_"&amp;Table1[[#This Row],[Zone]]&amp;"_additional",Sheet1[#Headers],0))</f>
        <v>44.8</v>
      </c>
      <c r="M340" s="1">
        <f>(Table1[[#This Row],[Weight slab]]-0.5)/0.5</f>
        <v>0</v>
      </c>
      <c r="N340" s="1">
        <f>Table1[[#This Row],[Fixed_Charges]]+Table1[[#This Row],[No_of_Extra_slabs]]*Table1[[#This Row],[Additional_Charges]]</f>
        <v>45.4</v>
      </c>
      <c r="O340">
        <f>_xlfn.XLOOKUP(Table1[[#This Row],[OrderID]],'Courier company invoice'!B:B,'Courier company invoice'!H:H)</f>
        <v>90.2</v>
      </c>
      <c r="P340" s="1">
        <f>Table1[[#This Row],[Billing Amount]]-Table1[[#This Row],[Expected charges]]</f>
        <v>44.800000000000004</v>
      </c>
      <c r="Q340" s="1" t="str" cm="1">
        <f t="array" ref="Q34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41" spans="1:17" x14ac:dyDescent="0.3">
      <c r="A341" s="3" t="s">
        <v>109</v>
      </c>
      <c r="B341" s="2">
        <f>Table1[[#This Row],[Order ID]]*1</f>
        <v>2001806686</v>
      </c>
      <c r="C341" s="2">
        <v>8904223819468</v>
      </c>
      <c r="D341">
        <v>1</v>
      </c>
      <c r="E341">
        <f>_xlfn.XLOOKUP(Table1[[#This Row],[SKU (Product Code)]],'SKU Master'!A:A,'SKU Master'!B:B)</f>
        <v>240</v>
      </c>
      <c r="F341">
        <f>Table1[[#This Row],[Product weight]]*Table1[[#This Row],[Order Qty]]</f>
        <v>240</v>
      </c>
      <c r="G341">
        <f>Table1[[#This Row],[Weight per order (g)]]/1000</f>
        <v>0.24</v>
      </c>
      <c r="H341" s="1">
        <f>CEILING(Table1[[#This Row],[Weight per order (Kg)]],0.5)</f>
        <v>0.5</v>
      </c>
      <c r="I341" t="str">
        <f>_xlfn.XLOOKUP(Table1[[#This Row],[OrderID]],'Courier company invoice'!B:B,'Courier company invoice'!F:F)</f>
        <v>d</v>
      </c>
      <c r="J341" s="1" t="str">
        <f>_xlfn.XLOOKUP(Table1[[#This Row],[OrderID]],Table2[Order ID],Table2[Type of Shipment],"Not Found")</f>
        <v>Forward charges</v>
      </c>
      <c r="K341">
        <f>INDEX(Sheet1[],1,MATCH("fwd_"&amp;Table1[[#This Row],[Zone]]&amp;"_fixed",Sheet1[#Headers],0))</f>
        <v>45.4</v>
      </c>
      <c r="L341">
        <f>INDEX(Sheet1[],1,MATCH("fwd_"&amp;Table1[[#This Row],[Zone]]&amp;"_additional",Sheet1[#Headers],0))</f>
        <v>44.8</v>
      </c>
      <c r="M341" s="1">
        <f>(Table1[[#This Row],[Weight slab]]-0.5)/0.5</f>
        <v>0</v>
      </c>
      <c r="N341" s="1">
        <f>Table1[[#This Row],[Fixed_Charges]]+Table1[[#This Row],[No_of_Extra_slabs]]*Table1[[#This Row],[Additional_Charges]]</f>
        <v>45.4</v>
      </c>
      <c r="O341">
        <f>_xlfn.XLOOKUP(Table1[[#This Row],[OrderID]],'Courier company invoice'!B:B,'Courier company invoice'!H:H)</f>
        <v>45.4</v>
      </c>
      <c r="P341" s="1">
        <f>Table1[[#This Row],[Billing Amount]]-Table1[[#This Row],[Expected charges]]</f>
        <v>0</v>
      </c>
      <c r="Q341" s="1" t="str" cm="1">
        <f t="array" ref="Q34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Correctly Charged</v>
      </c>
    </row>
    <row r="342" spans="1:17" x14ac:dyDescent="0.3">
      <c r="A342" s="3" t="s">
        <v>110</v>
      </c>
      <c r="B342" s="2">
        <f>Table1[[#This Row],[Order ID]]*1</f>
        <v>2001806652</v>
      </c>
      <c r="C342" s="2">
        <v>8904223818706</v>
      </c>
      <c r="D342">
        <v>1</v>
      </c>
      <c r="E342">
        <f>_xlfn.XLOOKUP(Table1[[#This Row],[SKU (Product Code)]],'SKU Master'!A:A,'SKU Master'!B:B)</f>
        <v>127</v>
      </c>
      <c r="F342">
        <f>Table1[[#This Row],[Product weight]]*Table1[[#This Row],[Order Qty]]</f>
        <v>127</v>
      </c>
      <c r="G342">
        <f>Table1[[#This Row],[Weight per order (g)]]/1000</f>
        <v>0.127</v>
      </c>
      <c r="H342" s="1">
        <f>CEILING(Table1[[#This Row],[Weight per order (Kg)]],0.5)</f>
        <v>0.5</v>
      </c>
      <c r="I342" t="str">
        <f>_xlfn.XLOOKUP(Table1[[#This Row],[OrderID]],'Courier company invoice'!B:B,'Courier company invoice'!F:F)</f>
        <v>d</v>
      </c>
      <c r="J342" s="1" t="str">
        <f>_xlfn.XLOOKUP(Table1[[#This Row],[OrderID]],Table2[Order ID],Table2[Type of Shipment],"Not Found")</f>
        <v>Forward charges</v>
      </c>
      <c r="K342">
        <f>INDEX(Sheet1[],1,MATCH("fwd_"&amp;Table1[[#This Row],[Zone]]&amp;"_fixed",Sheet1[#Headers],0))</f>
        <v>45.4</v>
      </c>
      <c r="L342">
        <f>INDEX(Sheet1[],1,MATCH("fwd_"&amp;Table1[[#This Row],[Zone]]&amp;"_additional",Sheet1[#Headers],0))</f>
        <v>44.8</v>
      </c>
      <c r="M342" s="1">
        <f>(Table1[[#This Row],[Weight slab]]-0.5)/0.5</f>
        <v>0</v>
      </c>
      <c r="N342" s="1">
        <f>Table1[[#This Row],[Fixed_Charges]]+Table1[[#This Row],[No_of_Extra_slabs]]*Table1[[#This Row],[Additional_Charges]]</f>
        <v>45.4</v>
      </c>
      <c r="O342">
        <f>_xlfn.XLOOKUP(Table1[[#This Row],[OrderID]],'Courier company invoice'!B:B,'Courier company invoice'!H:H)</f>
        <v>90.2</v>
      </c>
      <c r="P342" s="1">
        <f>Table1[[#This Row],[Billing Amount]]-Table1[[#This Row],[Expected charges]]</f>
        <v>44.800000000000004</v>
      </c>
      <c r="Q342" s="1" t="str" cm="1">
        <f t="array" ref="Q34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43" spans="1:17" x14ac:dyDescent="0.3">
      <c r="A343" s="3" t="s">
        <v>110</v>
      </c>
      <c r="B343" s="2">
        <f>Table1[[#This Row],[Order ID]]*1</f>
        <v>2001806652</v>
      </c>
      <c r="C343" s="2">
        <v>8904223818942</v>
      </c>
      <c r="D343">
        <v>1</v>
      </c>
      <c r="E343">
        <f>_xlfn.XLOOKUP(Table1[[#This Row],[SKU (Product Code)]],'SKU Master'!A:A,'SKU Master'!B:B)</f>
        <v>133</v>
      </c>
      <c r="F343">
        <f>Table1[[#This Row],[Product weight]]*Table1[[#This Row],[Order Qty]]</f>
        <v>133</v>
      </c>
      <c r="G343">
        <f>Table1[[#This Row],[Weight per order (g)]]/1000</f>
        <v>0.13300000000000001</v>
      </c>
      <c r="H343" s="1">
        <f>CEILING(Table1[[#This Row],[Weight per order (Kg)]],0.5)</f>
        <v>0.5</v>
      </c>
      <c r="I343" t="str">
        <f>_xlfn.XLOOKUP(Table1[[#This Row],[OrderID]],'Courier company invoice'!B:B,'Courier company invoice'!F:F)</f>
        <v>d</v>
      </c>
      <c r="J343" s="1" t="str">
        <f>_xlfn.XLOOKUP(Table1[[#This Row],[OrderID]],Table2[Order ID],Table2[Type of Shipment],"Not Found")</f>
        <v>Forward charges</v>
      </c>
      <c r="K343">
        <f>INDEX(Sheet1[],1,MATCH("fwd_"&amp;Table1[[#This Row],[Zone]]&amp;"_fixed",Sheet1[#Headers],0))</f>
        <v>45.4</v>
      </c>
      <c r="L343">
        <f>INDEX(Sheet1[],1,MATCH("fwd_"&amp;Table1[[#This Row],[Zone]]&amp;"_additional",Sheet1[#Headers],0))</f>
        <v>44.8</v>
      </c>
      <c r="M343" s="1">
        <f>(Table1[[#This Row],[Weight slab]]-0.5)/0.5</f>
        <v>0</v>
      </c>
      <c r="N343" s="1">
        <f>Table1[[#This Row],[Fixed_Charges]]+Table1[[#This Row],[No_of_Extra_slabs]]*Table1[[#This Row],[Additional_Charges]]</f>
        <v>45.4</v>
      </c>
      <c r="O343">
        <f>_xlfn.XLOOKUP(Table1[[#This Row],[OrderID]],'Courier company invoice'!B:B,'Courier company invoice'!H:H)</f>
        <v>90.2</v>
      </c>
      <c r="P343" s="1">
        <f>Table1[[#This Row],[Billing Amount]]-Table1[[#This Row],[Expected charges]]</f>
        <v>44.800000000000004</v>
      </c>
      <c r="Q343" s="1" t="str" cm="1">
        <f t="array" ref="Q34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44" spans="1:17" x14ac:dyDescent="0.3">
      <c r="A344" s="3" t="s">
        <v>110</v>
      </c>
      <c r="B344" s="2">
        <f>Table1[[#This Row],[Order ID]]*1</f>
        <v>2001806652</v>
      </c>
      <c r="C344" s="2">
        <v>8904223818850</v>
      </c>
      <c r="D344">
        <v>1</v>
      </c>
      <c r="E344">
        <f>_xlfn.XLOOKUP(Table1[[#This Row],[SKU (Product Code)]],'SKU Master'!A:A,'SKU Master'!B:B)</f>
        <v>240</v>
      </c>
      <c r="F344">
        <f>Table1[[#This Row],[Product weight]]*Table1[[#This Row],[Order Qty]]</f>
        <v>240</v>
      </c>
      <c r="G344">
        <f>Table1[[#This Row],[Weight per order (g)]]/1000</f>
        <v>0.24</v>
      </c>
      <c r="H344" s="1">
        <f>CEILING(Table1[[#This Row],[Weight per order (Kg)]],0.5)</f>
        <v>0.5</v>
      </c>
      <c r="I344" t="str">
        <f>_xlfn.XLOOKUP(Table1[[#This Row],[OrderID]],'Courier company invoice'!B:B,'Courier company invoice'!F:F)</f>
        <v>d</v>
      </c>
      <c r="J344" s="1" t="str">
        <f>_xlfn.XLOOKUP(Table1[[#This Row],[OrderID]],Table2[Order ID],Table2[Type of Shipment],"Not Found")</f>
        <v>Forward charges</v>
      </c>
      <c r="K344">
        <f>INDEX(Sheet1[],1,MATCH("fwd_"&amp;Table1[[#This Row],[Zone]]&amp;"_fixed",Sheet1[#Headers],0))</f>
        <v>45.4</v>
      </c>
      <c r="L344">
        <f>INDEX(Sheet1[],1,MATCH("fwd_"&amp;Table1[[#This Row],[Zone]]&amp;"_additional",Sheet1[#Headers],0))</f>
        <v>44.8</v>
      </c>
      <c r="M344" s="1">
        <f>(Table1[[#This Row],[Weight slab]]-0.5)/0.5</f>
        <v>0</v>
      </c>
      <c r="N344" s="1">
        <f>Table1[[#This Row],[Fixed_Charges]]+Table1[[#This Row],[No_of_Extra_slabs]]*Table1[[#This Row],[Additional_Charges]]</f>
        <v>45.4</v>
      </c>
      <c r="O344">
        <f>_xlfn.XLOOKUP(Table1[[#This Row],[OrderID]],'Courier company invoice'!B:B,'Courier company invoice'!H:H)</f>
        <v>90.2</v>
      </c>
      <c r="P344" s="1">
        <f>Table1[[#This Row],[Billing Amount]]-Table1[[#This Row],[Expected charges]]</f>
        <v>44.800000000000004</v>
      </c>
      <c r="Q344" s="1" t="str" cm="1">
        <f t="array" ref="Q34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45" spans="1:17" x14ac:dyDescent="0.3">
      <c r="A345" s="3" t="s">
        <v>111</v>
      </c>
      <c r="B345" s="2">
        <f>Table1[[#This Row],[Order ID]]*1</f>
        <v>2001806616</v>
      </c>
      <c r="C345" s="2">
        <v>8904223818669</v>
      </c>
      <c r="D345">
        <v>1</v>
      </c>
      <c r="E345">
        <f>_xlfn.XLOOKUP(Table1[[#This Row],[SKU (Product Code)]],'SKU Master'!A:A,'SKU Master'!B:B)</f>
        <v>240</v>
      </c>
      <c r="F345">
        <f>Table1[[#This Row],[Product weight]]*Table1[[#This Row],[Order Qty]]</f>
        <v>240</v>
      </c>
      <c r="G345">
        <f>Table1[[#This Row],[Weight per order (g)]]/1000</f>
        <v>0.24</v>
      </c>
      <c r="H345" s="1">
        <f>CEILING(Table1[[#This Row],[Weight per order (Kg)]],0.5)</f>
        <v>0.5</v>
      </c>
      <c r="I345" t="str">
        <f>_xlfn.XLOOKUP(Table1[[#This Row],[OrderID]],'Courier company invoice'!B:B,'Courier company invoice'!F:F)</f>
        <v>b</v>
      </c>
      <c r="J345" s="1" t="str">
        <f>_xlfn.XLOOKUP(Table1[[#This Row],[OrderID]],Table2[Order ID],Table2[Type of Shipment],"Not Found")</f>
        <v>Forward charges</v>
      </c>
      <c r="K345">
        <f>INDEX(Sheet1[],1,MATCH("fwd_"&amp;Table1[[#This Row],[Zone]]&amp;"_fixed",Sheet1[#Headers],0))</f>
        <v>33</v>
      </c>
      <c r="L345">
        <f>INDEX(Sheet1[],1,MATCH("fwd_"&amp;Table1[[#This Row],[Zone]]&amp;"_additional",Sheet1[#Headers],0))</f>
        <v>28.3</v>
      </c>
      <c r="M345" s="1">
        <f>(Table1[[#This Row],[Weight slab]]-0.5)/0.5</f>
        <v>0</v>
      </c>
      <c r="N345" s="1">
        <f>Table1[[#This Row],[Fixed_Charges]]+Table1[[#This Row],[No_of_Extra_slabs]]*Table1[[#This Row],[Additional_Charges]]</f>
        <v>33</v>
      </c>
      <c r="O345">
        <f>_xlfn.XLOOKUP(Table1[[#This Row],[OrderID]],'Courier company invoice'!B:B,'Courier company invoice'!H:H)</f>
        <v>89.6</v>
      </c>
      <c r="P345" s="1">
        <f>Table1[[#This Row],[Billing Amount]]-Table1[[#This Row],[Expected charges]]</f>
        <v>56.599999999999994</v>
      </c>
      <c r="Q345" s="1" t="str" cm="1">
        <f t="array" ref="Q34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46" spans="1:17" x14ac:dyDescent="0.3">
      <c r="A346" s="3" t="s">
        <v>111</v>
      </c>
      <c r="B346" s="2">
        <f>Table1[[#This Row],[Order ID]]*1</f>
        <v>2001806616</v>
      </c>
      <c r="C346" s="2">
        <v>8904223818683</v>
      </c>
      <c r="D346">
        <v>1</v>
      </c>
      <c r="E346">
        <f>_xlfn.XLOOKUP(Table1[[#This Row],[SKU (Product Code)]],'SKU Master'!A:A,'SKU Master'!B:B)</f>
        <v>121</v>
      </c>
      <c r="F346">
        <f>Table1[[#This Row],[Product weight]]*Table1[[#This Row],[Order Qty]]</f>
        <v>121</v>
      </c>
      <c r="G346">
        <f>Table1[[#This Row],[Weight per order (g)]]/1000</f>
        <v>0.121</v>
      </c>
      <c r="H346" s="1">
        <f>CEILING(Table1[[#This Row],[Weight per order (Kg)]],0.5)</f>
        <v>0.5</v>
      </c>
      <c r="I346" t="str">
        <f>_xlfn.XLOOKUP(Table1[[#This Row],[OrderID]],'Courier company invoice'!B:B,'Courier company invoice'!F:F)</f>
        <v>b</v>
      </c>
      <c r="J346" s="1" t="str">
        <f>_xlfn.XLOOKUP(Table1[[#This Row],[OrderID]],Table2[Order ID],Table2[Type of Shipment],"Not Found")</f>
        <v>Forward charges</v>
      </c>
      <c r="K346">
        <f>INDEX(Sheet1[],1,MATCH("fwd_"&amp;Table1[[#This Row],[Zone]]&amp;"_fixed",Sheet1[#Headers],0))</f>
        <v>33</v>
      </c>
      <c r="L346">
        <f>INDEX(Sheet1[],1,MATCH("fwd_"&amp;Table1[[#This Row],[Zone]]&amp;"_additional",Sheet1[#Headers],0))</f>
        <v>28.3</v>
      </c>
      <c r="M346" s="1">
        <f>(Table1[[#This Row],[Weight slab]]-0.5)/0.5</f>
        <v>0</v>
      </c>
      <c r="N346" s="1">
        <f>Table1[[#This Row],[Fixed_Charges]]+Table1[[#This Row],[No_of_Extra_slabs]]*Table1[[#This Row],[Additional_Charges]]</f>
        <v>33</v>
      </c>
      <c r="O346">
        <f>_xlfn.XLOOKUP(Table1[[#This Row],[OrderID]],'Courier company invoice'!B:B,'Courier company invoice'!H:H)</f>
        <v>89.6</v>
      </c>
      <c r="P346" s="1">
        <f>Table1[[#This Row],[Billing Amount]]-Table1[[#This Row],[Expected charges]]</f>
        <v>56.599999999999994</v>
      </c>
      <c r="Q346" s="1" t="str" cm="1">
        <f t="array" ref="Q34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47" spans="1:17" x14ac:dyDescent="0.3">
      <c r="A347" s="3" t="s">
        <v>111</v>
      </c>
      <c r="B347" s="2">
        <f>Table1[[#This Row],[Order ID]]*1</f>
        <v>2001806616</v>
      </c>
      <c r="C347" s="2">
        <v>8904223818935</v>
      </c>
      <c r="D347">
        <v>1</v>
      </c>
      <c r="E347">
        <f>_xlfn.XLOOKUP(Table1[[#This Row],[SKU (Product Code)]],'SKU Master'!A:A,'SKU Master'!B:B)</f>
        <v>120</v>
      </c>
      <c r="F347">
        <f>Table1[[#This Row],[Product weight]]*Table1[[#This Row],[Order Qty]]</f>
        <v>120</v>
      </c>
      <c r="G347">
        <f>Table1[[#This Row],[Weight per order (g)]]/1000</f>
        <v>0.12</v>
      </c>
      <c r="H347" s="1">
        <f>CEILING(Table1[[#This Row],[Weight per order (Kg)]],0.5)</f>
        <v>0.5</v>
      </c>
      <c r="I347" t="str">
        <f>_xlfn.XLOOKUP(Table1[[#This Row],[OrderID]],'Courier company invoice'!B:B,'Courier company invoice'!F:F)</f>
        <v>b</v>
      </c>
      <c r="J347" s="1" t="str">
        <f>_xlfn.XLOOKUP(Table1[[#This Row],[OrderID]],Table2[Order ID],Table2[Type of Shipment],"Not Found")</f>
        <v>Forward charges</v>
      </c>
      <c r="K347">
        <f>INDEX(Sheet1[],1,MATCH("fwd_"&amp;Table1[[#This Row],[Zone]]&amp;"_fixed",Sheet1[#Headers],0))</f>
        <v>33</v>
      </c>
      <c r="L347">
        <f>INDEX(Sheet1[],1,MATCH("fwd_"&amp;Table1[[#This Row],[Zone]]&amp;"_additional",Sheet1[#Headers],0))</f>
        <v>28.3</v>
      </c>
      <c r="M347" s="1">
        <f>(Table1[[#This Row],[Weight slab]]-0.5)/0.5</f>
        <v>0</v>
      </c>
      <c r="N347" s="1">
        <f>Table1[[#This Row],[Fixed_Charges]]+Table1[[#This Row],[No_of_Extra_slabs]]*Table1[[#This Row],[Additional_Charges]]</f>
        <v>33</v>
      </c>
      <c r="O347">
        <f>_xlfn.XLOOKUP(Table1[[#This Row],[OrderID]],'Courier company invoice'!B:B,'Courier company invoice'!H:H)</f>
        <v>89.6</v>
      </c>
      <c r="P347" s="1">
        <f>Table1[[#This Row],[Billing Amount]]-Table1[[#This Row],[Expected charges]]</f>
        <v>56.599999999999994</v>
      </c>
      <c r="Q347" s="1" t="str" cm="1">
        <f t="array" ref="Q34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48" spans="1:17" x14ac:dyDescent="0.3">
      <c r="A348" s="3" t="s">
        <v>111</v>
      </c>
      <c r="B348" s="2">
        <f>Table1[[#This Row],[Order ID]]*1</f>
        <v>2001806616</v>
      </c>
      <c r="C348" s="2">
        <v>8904223818713</v>
      </c>
      <c r="D348">
        <v>1</v>
      </c>
      <c r="E348">
        <f>_xlfn.XLOOKUP(Table1[[#This Row],[SKU (Product Code)]],'SKU Master'!A:A,'SKU Master'!B:B)</f>
        <v>120</v>
      </c>
      <c r="F348">
        <f>Table1[[#This Row],[Product weight]]*Table1[[#This Row],[Order Qty]]</f>
        <v>120</v>
      </c>
      <c r="G348">
        <f>Table1[[#This Row],[Weight per order (g)]]/1000</f>
        <v>0.12</v>
      </c>
      <c r="H348" s="1">
        <f>CEILING(Table1[[#This Row],[Weight per order (Kg)]],0.5)</f>
        <v>0.5</v>
      </c>
      <c r="I348" t="str">
        <f>_xlfn.XLOOKUP(Table1[[#This Row],[OrderID]],'Courier company invoice'!B:B,'Courier company invoice'!F:F)</f>
        <v>b</v>
      </c>
      <c r="J348" s="1" t="str">
        <f>_xlfn.XLOOKUP(Table1[[#This Row],[OrderID]],Table2[Order ID],Table2[Type of Shipment],"Not Found")</f>
        <v>Forward charges</v>
      </c>
      <c r="K348">
        <f>INDEX(Sheet1[],1,MATCH("fwd_"&amp;Table1[[#This Row],[Zone]]&amp;"_fixed",Sheet1[#Headers],0))</f>
        <v>33</v>
      </c>
      <c r="L348">
        <f>INDEX(Sheet1[],1,MATCH("fwd_"&amp;Table1[[#This Row],[Zone]]&amp;"_additional",Sheet1[#Headers],0))</f>
        <v>28.3</v>
      </c>
      <c r="M348" s="1">
        <f>(Table1[[#This Row],[Weight slab]]-0.5)/0.5</f>
        <v>0</v>
      </c>
      <c r="N348" s="1">
        <f>Table1[[#This Row],[Fixed_Charges]]+Table1[[#This Row],[No_of_Extra_slabs]]*Table1[[#This Row],[Additional_Charges]]</f>
        <v>33</v>
      </c>
      <c r="O348">
        <f>_xlfn.XLOOKUP(Table1[[#This Row],[OrderID]],'Courier company invoice'!B:B,'Courier company invoice'!H:H)</f>
        <v>89.6</v>
      </c>
      <c r="P348" s="1">
        <f>Table1[[#This Row],[Billing Amount]]-Table1[[#This Row],[Expected charges]]</f>
        <v>56.599999999999994</v>
      </c>
      <c r="Q348" s="1" t="str" cm="1">
        <f t="array" ref="Q34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49" spans="1:17" x14ac:dyDescent="0.3">
      <c r="A349" s="3" t="s">
        <v>111</v>
      </c>
      <c r="B349" s="2">
        <f>Table1[[#This Row],[Order ID]]*1</f>
        <v>2001806616</v>
      </c>
      <c r="C349" s="2">
        <v>8904223819024</v>
      </c>
      <c r="D349">
        <v>1</v>
      </c>
      <c r="E349">
        <f>_xlfn.XLOOKUP(Table1[[#This Row],[SKU (Product Code)]],'SKU Master'!A:A,'SKU Master'!B:B)</f>
        <v>112</v>
      </c>
      <c r="F349">
        <f>Table1[[#This Row],[Product weight]]*Table1[[#This Row],[Order Qty]]</f>
        <v>112</v>
      </c>
      <c r="G349">
        <f>Table1[[#This Row],[Weight per order (g)]]/1000</f>
        <v>0.112</v>
      </c>
      <c r="H349" s="1">
        <f>CEILING(Table1[[#This Row],[Weight per order (Kg)]],0.5)</f>
        <v>0.5</v>
      </c>
      <c r="I349" t="str">
        <f>_xlfn.XLOOKUP(Table1[[#This Row],[OrderID]],'Courier company invoice'!B:B,'Courier company invoice'!F:F)</f>
        <v>b</v>
      </c>
      <c r="J349" s="1" t="str">
        <f>_xlfn.XLOOKUP(Table1[[#This Row],[OrderID]],Table2[Order ID],Table2[Type of Shipment],"Not Found")</f>
        <v>Forward charges</v>
      </c>
      <c r="K349">
        <f>INDEX(Sheet1[],1,MATCH("fwd_"&amp;Table1[[#This Row],[Zone]]&amp;"_fixed",Sheet1[#Headers],0))</f>
        <v>33</v>
      </c>
      <c r="L349">
        <f>INDEX(Sheet1[],1,MATCH("fwd_"&amp;Table1[[#This Row],[Zone]]&amp;"_additional",Sheet1[#Headers],0))</f>
        <v>28.3</v>
      </c>
      <c r="M349" s="1">
        <f>(Table1[[#This Row],[Weight slab]]-0.5)/0.5</f>
        <v>0</v>
      </c>
      <c r="N349" s="1">
        <f>Table1[[#This Row],[Fixed_Charges]]+Table1[[#This Row],[No_of_Extra_slabs]]*Table1[[#This Row],[Additional_Charges]]</f>
        <v>33</v>
      </c>
      <c r="O349">
        <f>_xlfn.XLOOKUP(Table1[[#This Row],[OrderID]],'Courier company invoice'!B:B,'Courier company invoice'!H:H)</f>
        <v>89.6</v>
      </c>
      <c r="P349" s="1">
        <f>Table1[[#This Row],[Billing Amount]]-Table1[[#This Row],[Expected charges]]</f>
        <v>56.599999999999994</v>
      </c>
      <c r="Q349" s="1" t="str" cm="1">
        <f t="array" ref="Q34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50" spans="1:17" x14ac:dyDescent="0.3">
      <c r="A350" s="3" t="s">
        <v>111</v>
      </c>
      <c r="B350" s="2">
        <f>Table1[[#This Row],[Order ID]]*1</f>
        <v>2001806616</v>
      </c>
      <c r="C350" s="2">
        <v>8904223819123</v>
      </c>
      <c r="D350">
        <v>1</v>
      </c>
      <c r="E350">
        <f>_xlfn.XLOOKUP(Table1[[#This Row],[SKU (Product Code)]],'SKU Master'!A:A,'SKU Master'!B:B)</f>
        <v>250</v>
      </c>
      <c r="F350">
        <f>Table1[[#This Row],[Product weight]]*Table1[[#This Row],[Order Qty]]</f>
        <v>250</v>
      </c>
      <c r="G350">
        <f>Table1[[#This Row],[Weight per order (g)]]/1000</f>
        <v>0.25</v>
      </c>
      <c r="H350" s="1">
        <f>CEILING(Table1[[#This Row],[Weight per order (Kg)]],0.5)</f>
        <v>0.5</v>
      </c>
      <c r="I350" t="str">
        <f>_xlfn.XLOOKUP(Table1[[#This Row],[OrderID]],'Courier company invoice'!B:B,'Courier company invoice'!F:F)</f>
        <v>b</v>
      </c>
      <c r="J350" s="1" t="str">
        <f>_xlfn.XLOOKUP(Table1[[#This Row],[OrderID]],Table2[Order ID],Table2[Type of Shipment],"Not Found")</f>
        <v>Forward charges</v>
      </c>
      <c r="K350">
        <f>INDEX(Sheet1[],1,MATCH("fwd_"&amp;Table1[[#This Row],[Zone]]&amp;"_fixed",Sheet1[#Headers],0))</f>
        <v>33</v>
      </c>
      <c r="L350">
        <f>INDEX(Sheet1[],1,MATCH("fwd_"&amp;Table1[[#This Row],[Zone]]&amp;"_additional",Sheet1[#Headers],0))</f>
        <v>28.3</v>
      </c>
      <c r="M350" s="1">
        <f>(Table1[[#This Row],[Weight slab]]-0.5)/0.5</f>
        <v>0</v>
      </c>
      <c r="N350" s="1">
        <f>Table1[[#This Row],[Fixed_Charges]]+Table1[[#This Row],[No_of_Extra_slabs]]*Table1[[#This Row],[Additional_Charges]]</f>
        <v>33</v>
      </c>
      <c r="O350">
        <f>_xlfn.XLOOKUP(Table1[[#This Row],[OrderID]],'Courier company invoice'!B:B,'Courier company invoice'!H:H)</f>
        <v>89.6</v>
      </c>
      <c r="P350" s="1">
        <f>Table1[[#This Row],[Billing Amount]]-Table1[[#This Row],[Expected charges]]</f>
        <v>56.599999999999994</v>
      </c>
      <c r="Q350" s="1" t="str" cm="1">
        <f t="array" ref="Q35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51" spans="1:17" x14ac:dyDescent="0.3">
      <c r="A351" s="3" t="s">
        <v>112</v>
      </c>
      <c r="B351" s="2">
        <f>Table1[[#This Row],[Order ID]]*1</f>
        <v>2001806575</v>
      </c>
      <c r="C351" s="2">
        <v>8904223818706</v>
      </c>
      <c r="D351">
        <v>1</v>
      </c>
      <c r="E351">
        <f>_xlfn.XLOOKUP(Table1[[#This Row],[SKU (Product Code)]],'SKU Master'!A:A,'SKU Master'!B:B)</f>
        <v>127</v>
      </c>
      <c r="F351">
        <f>Table1[[#This Row],[Product weight]]*Table1[[#This Row],[Order Qty]]</f>
        <v>127</v>
      </c>
      <c r="G351">
        <f>Table1[[#This Row],[Weight per order (g)]]/1000</f>
        <v>0.127</v>
      </c>
      <c r="H351" s="1">
        <f>CEILING(Table1[[#This Row],[Weight per order (Kg)]],0.5)</f>
        <v>0.5</v>
      </c>
      <c r="I351" t="str">
        <f>_xlfn.XLOOKUP(Table1[[#This Row],[OrderID]],'Courier company invoice'!B:B,'Courier company invoice'!F:F)</f>
        <v>b</v>
      </c>
      <c r="J351" s="1" t="str">
        <f>_xlfn.XLOOKUP(Table1[[#This Row],[OrderID]],Table2[Order ID],Table2[Type of Shipment],"Not Found")</f>
        <v>Forward charges</v>
      </c>
      <c r="K351">
        <f>INDEX(Sheet1[],1,MATCH("fwd_"&amp;Table1[[#This Row],[Zone]]&amp;"_fixed",Sheet1[#Headers],0))</f>
        <v>33</v>
      </c>
      <c r="L351">
        <f>INDEX(Sheet1[],1,MATCH("fwd_"&amp;Table1[[#This Row],[Zone]]&amp;"_additional",Sheet1[#Headers],0))</f>
        <v>28.3</v>
      </c>
      <c r="M351" s="1">
        <f>(Table1[[#This Row],[Weight slab]]-0.5)/0.5</f>
        <v>0</v>
      </c>
      <c r="N351" s="1">
        <f>Table1[[#This Row],[Fixed_Charges]]+Table1[[#This Row],[No_of_Extra_slabs]]*Table1[[#This Row],[Additional_Charges]]</f>
        <v>33</v>
      </c>
      <c r="O351">
        <f>_xlfn.XLOOKUP(Table1[[#This Row],[OrderID]],'Courier company invoice'!B:B,'Courier company invoice'!H:H)</f>
        <v>61.3</v>
      </c>
      <c r="P351" s="1">
        <f>Table1[[#This Row],[Billing Amount]]-Table1[[#This Row],[Expected charges]]</f>
        <v>28.299999999999997</v>
      </c>
      <c r="Q351" s="1" t="str" cm="1">
        <f t="array" ref="Q35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52" spans="1:17" x14ac:dyDescent="0.3">
      <c r="A352" s="3" t="s">
        <v>112</v>
      </c>
      <c r="B352" s="2">
        <f>Table1[[#This Row],[Order ID]]*1</f>
        <v>2001806575</v>
      </c>
      <c r="C352" s="2">
        <v>8904223818942</v>
      </c>
      <c r="D352">
        <v>1</v>
      </c>
      <c r="E352">
        <f>_xlfn.XLOOKUP(Table1[[#This Row],[SKU (Product Code)]],'SKU Master'!A:A,'SKU Master'!B:B)</f>
        <v>133</v>
      </c>
      <c r="F352">
        <f>Table1[[#This Row],[Product weight]]*Table1[[#This Row],[Order Qty]]</f>
        <v>133</v>
      </c>
      <c r="G352">
        <f>Table1[[#This Row],[Weight per order (g)]]/1000</f>
        <v>0.13300000000000001</v>
      </c>
      <c r="H352" s="1">
        <f>CEILING(Table1[[#This Row],[Weight per order (Kg)]],0.5)</f>
        <v>0.5</v>
      </c>
      <c r="I352" t="str">
        <f>_xlfn.XLOOKUP(Table1[[#This Row],[OrderID]],'Courier company invoice'!B:B,'Courier company invoice'!F:F)</f>
        <v>b</v>
      </c>
      <c r="J352" s="1" t="str">
        <f>_xlfn.XLOOKUP(Table1[[#This Row],[OrderID]],Table2[Order ID],Table2[Type of Shipment],"Not Found")</f>
        <v>Forward charges</v>
      </c>
      <c r="K352">
        <f>INDEX(Sheet1[],1,MATCH("fwd_"&amp;Table1[[#This Row],[Zone]]&amp;"_fixed",Sheet1[#Headers],0))</f>
        <v>33</v>
      </c>
      <c r="L352">
        <f>INDEX(Sheet1[],1,MATCH("fwd_"&amp;Table1[[#This Row],[Zone]]&amp;"_additional",Sheet1[#Headers],0))</f>
        <v>28.3</v>
      </c>
      <c r="M352" s="1">
        <f>(Table1[[#This Row],[Weight slab]]-0.5)/0.5</f>
        <v>0</v>
      </c>
      <c r="N352" s="1">
        <f>Table1[[#This Row],[Fixed_Charges]]+Table1[[#This Row],[No_of_Extra_slabs]]*Table1[[#This Row],[Additional_Charges]]</f>
        <v>33</v>
      </c>
      <c r="O352">
        <f>_xlfn.XLOOKUP(Table1[[#This Row],[OrderID]],'Courier company invoice'!B:B,'Courier company invoice'!H:H)</f>
        <v>61.3</v>
      </c>
      <c r="P352" s="1">
        <f>Table1[[#This Row],[Billing Amount]]-Table1[[#This Row],[Expected charges]]</f>
        <v>28.299999999999997</v>
      </c>
      <c r="Q352" s="1" t="str" cm="1">
        <f t="array" ref="Q35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53" spans="1:17" x14ac:dyDescent="0.3">
      <c r="A353" s="3" t="s">
        <v>112</v>
      </c>
      <c r="B353" s="2">
        <f>Table1[[#This Row],[Order ID]]*1</f>
        <v>2001806575</v>
      </c>
      <c r="C353" s="2">
        <v>8904223818850</v>
      </c>
      <c r="D353">
        <v>1</v>
      </c>
      <c r="E353">
        <f>_xlfn.XLOOKUP(Table1[[#This Row],[SKU (Product Code)]],'SKU Master'!A:A,'SKU Master'!B:B)</f>
        <v>240</v>
      </c>
      <c r="F353">
        <f>Table1[[#This Row],[Product weight]]*Table1[[#This Row],[Order Qty]]</f>
        <v>240</v>
      </c>
      <c r="G353">
        <f>Table1[[#This Row],[Weight per order (g)]]/1000</f>
        <v>0.24</v>
      </c>
      <c r="H353" s="1">
        <f>CEILING(Table1[[#This Row],[Weight per order (Kg)]],0.5)</f>
        <v>0.5</v>
      </c>
      <c r="I353" t="str">
        <f>_xlfn.XLOOKUP(Table1[[#This Row],[OrderID]],'Courier company invoice'!B:B,'Courier company invoice'!F:F)</f>
        <v>b</v>
      </c>
      <c r="J353" s="1" t="str">
        <f>_xlfn.XLOOKUP(Table1[[#This Row],[OrderID]],Table2[Order ID],Table2[Type of Shipment],"Not Found")</f>
        <v>Forward charges</v>
      </c>
      <c r="K353">
        <f>INDEX(Sheet1[],1,MATCH("fwd_"&amp;Table1[[#This Row],[Zone]]&amp;"_fixed",Sheet1[#Headers],0))</f>
        <v>33</v>
      </c>
      <c r="L353">
        <f>INDEX(Sheet1[],1,MATCH("fwd_"&amp;Table1[[#This Row],[Zone]]&amp;"_additional",Sheet1[#Headers],0))</f>
        <v>28.3</v>
      </c>
      <c r="M353" s="1">
        <f>(Table1[[#This Row],[Weight slab]]-0.5)/0.5</f>
        <v>0</v>
      </c>
      <c r="N353" s="1">
        <f>Table1[[#This Row],[Fixed_Charges]]+Table1[[#This Row],[No_of_Extra_slabs]]*Table1[[#This Row],[Additional_Charges]]</f>
        <v>33</v>
      </c>
      <c r="O353">
        <f>_xlfn.XLOOKUP(Table1[[#This Row],[OrderID]],'Courier company invoice'!B:B,'Courier company invoice'!H:H)</f>
        <v>61.3</v>
      </c>
      <c r="P353" s="1">
        <f>Table1[[#This Row],[Billing Amount]]-Table1[[#This Row],[Expected charges]]</f>
        <v>28.299999999999997</v>
      </c>
      <c r="Q353" s="1" t="str" cm="1">
        <f t="array" ref="Q35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54" spans="1:17" x14ac:dyDescent="0.3">
      <c r="A354" s="3" t="s">
        <v>113</v>
      </c>
      <c r="B354" s="2">
        <f>Table1[[#This Row],[Order ID]]*1</f>
        <v>2001806567</v>
      </c>
      <c r="C354" s="2">
        <v>8904223818591</v>
      </c>
      <c r="D354">
        <v>1</v>
      </c>
      <c r="E354">
        <f>_xlfn.XLOOKUP(Table1[[#This Row],[SKU (Product Code)]],'SKU Master'!A:A,'SKU Master'!B:B)</f>
        <v>120</v>
      </c>
      <c r="F354">
        <f>Table1[[#This Row],[Product weight]]*Table1[[#This Row],[Order Qty]]</f>
        <v>120</v>
      </c>
      <c r="G354">
        <f>Table1[[#This Row],[Weight per order (g)]]/1000</f>
        <v>0.12</v>
      </c>
      <c r="H354" s="1">
        <f>CEILING(Table1[[#This Row],[Weight per order (Kg)]],0.5)</f>
        <v>0.5</v>
      </c>
      <c r="I354" t="str">
        <f>_xlfn.XLOOKUP(Table1[[#This Row],[OrderID]],'Courier company invoice'!B:B,'Courier company invoice'!F:F)</f>
        <v>d</v>
      </c>
      <c r="J354" s="1" t="str">
        <f>_xlfn.XLOOKUP(Table1[[#This Row],[OrderID]],Table2[Order ID],Table2[Type of Shipment],"Not Found")</f>
        <v>Forward charges</v>
      </c>
      <c r="K354">
        <f>INDEX(Sheet1[],1,MATCH("fwd_"&amp;Table1[[#This Row],[Zone]]&amp;"_fixed",Sheet1[#Headers],0))</f>
        <v>45.4</v>
      </c>
      <c r="L354">
        <f>INDEX(Sheet1[],1,MATCH("fwd_"&amp;Table1[[#This Row],[Zone]]&amp;"_additional",Sheet1[#Headers],0))</f>
        <v>44.8</v>
      </c>
      <c r="M354" s="1">
        <f>(Table1[[#This Row],[Weight slab]]-0.5)/0.5</f>
        <v>0</v>
      </c>
      <c r="N354" s="1">
        <f>Table1[[#This Row],[Fixed_Charges]]+Table1[[#This Row],[No_of_Extra_slabs]]*Table1[[#This Row],[Additional_Charges]]</f>
        <v>45.4</v>
      </c>
      <c r="O354">
        <f>_xlfn.XLOOKUP(Table1[[#This Row],[OrderID]],'Courier company invoice'!B:B,'Courier company invoice'!H:H)</f>
        <v>135</v>
      </c>
      <c r="P354" s="1">
        <f>Table1[[#This Row],[Billing Amount]]-Table1[[#This Row],[Expected charges]]</f>
        <v>89.6</v>
      </c>
      <c r="Q354" s="1" t="str" cm="1">
        <f t="array" ref="Q35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55" spans="1:17" x14ac:dyDescent="0.3">
      <c r="A355" s="3" t="s">
        <v>113</v>
      </c>
      <c r="B355" s="2">
        <f>Table1[[#This Row],[Order ID]]*1</f>
        <v>2001806567</v>
      </c>
      <c r="C355" s="2">
        <v>8904223816214</v>
      </c>
      <c r="D355">
        <v>1</v>
      </c>
      <c r="E355">
        <f>_xlfn.XLOOKUP(Table1[[#This Row],[SKU (Product Code)]],'SKU Master'!A:A,'SKU Master'!B:B)</f>
        <v>120</v>
      </c>
      <c r="F355">
        <f>Table1[[#This Row],[Product weight]]*Table1[[#This Row],[Order Qty]]</f>
        <v>120</v>
      </c>
      <c r="G355">
        <f>Table1[[#This Row],[Weight per order (g)]]/1000</f>
        <v>0.12</v>
      </c>
      <c r="H355" s="1">
        <f>CEILING(Table1[[#This Row],[Weight per order (Kg)]],0.5)</f>
        <v>0.5</v>
      </c>
      <c r="I355" t="str">
        <f>_xlfn.XLOOKUP(Table1[[#This Row],[OrderID]],'Courier company invoice'!B:B,'Courier company invoice'!F:F)</f>
        <v>d</v>
      </c>
      <c r="J355" s="1" t="str">
        <f>_xlfn.XLOOKUP(Table1[[#This Row],[OrderID]],Table2[Order ID],Table2[Type of Shipment],"Not Found")</f>
        <v>Forward charges</v>
      </c>
      <c r="K355">
        <f>INDEX(Sheet1[],1,MATCH("fwd_"&amp;Table1[[#This Row],[Zone]]&amp;"_fixed",Sheet1[#Headers],0))</f>
        <v>45.4</v>
      </c>
      <c r="L355">
        <f>INDEX(Sheet1[],1,MATCH("fwd_"&amp;Table1[[#This Row],[Zone]]&amp;"_additional",Sheet1[#Headers],0))</f>
        <v>44.8</v>
      </c>
      <c r="M355" s="1">
        <f>(Table1[[#This Row],[Weight slab]]-0.5)/0.5</f>
        <v>0</v>
      </c>
      <c r="N355" s="1">
        <f>Table1[[#This Row],[Fixed_Charges]]+Table1[[#This Row],[No_of_Extra_slabs]]*Table1[[#This Row],[Additional_Charges]]</f>
        <v>45.4</v>
      </c>
      <c r="O355">
        <f>_xlfn.XLOOKUP(Table1[[#This Row],[OrderID]],'Courier company invoice'!B:B,'Courier company invoice'!H:H)</f>
        <v>135</v>
      </c>
      <c r="P355" s="1">
        <f>Table1[[#This Row],[Billing Amount]]-Table1[[#This Row],[Expected charges]]</f>
        <v>89.6</v>
      </c>
      <c r="Q355" s="1" t="str" cm="1">
        <f t="array" ref="Q35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56" spans="1:17" x14ac:dyDescent="0.3">
      <c r="A356" s="3" t="s">
        <v>113</v>
      </c>
      <c r="B356" s="2">
        <f>Table1[[#This Row],[Order ID]]*1</f>
        <v>2001806567</v>
      </c>
      <c r="C356" s="2">
        <v>8904223819024</v>
      </c>
      <c r="D356">
        <v>1</v>
      </c>
      <c r="E356">
        <f>_xlfn.XLOOKUP(Table1[[#This Row],[SKU (Product Code)]],'SKU Master'!A:A,'SKU Master'!B:B)</f>
        <v>112</v>
      </c>
      <c r="F356">
        <f>Table1[[#This Row],[Product weight]]*Table1[[#This Row],[Order Qty]]</f>
        <v>112</v>
      </c>
      <c r="G356">
        <f>Table1[[#This Row],[Weight per order (g)]]/1000</f>
        <v>0.112</v>
      </c>
      <c r="H356" s="1">
        <f>CEILING(Table1[[#This Row],[Weight per order (Kg)]],0.5)</f>
        <v>0.5</v>
      </c>
      <c r="I356" t="str">
        <f>_xlfn.XLOOKUP(Table1[[#This Row],[OrderID]],'Courier company invoice'!B:B,'Courier company invoice'!F:F)</f>
        <v>d</v>
      </c>
      <c r="J356" s="1" t="str">
        <f>_xlfn.XLOOKUP(Table1[[#This Row],[OrderID]],Table2[Order ID],Table2[Type of Shipment],"Not Found")</f>
        <v>Forward charges</v>
      </c>
      <c r="K356">
        <f>INDEX(Sheet1[],1,MATCH("fwd_"&amp;Table1[[#This Row],[Zone]]&amp;"_fixed",Sheet1[#Headers],0))</f>
        <v>45.4</v>
      </c>
      <c r="L356">
        <f>INDEX(Sheet1[],1,MATCH("fwd_"&amp;Table1[[#This Row],[Zone]]&amp;"_additional",Sheet1[#Headers],0))</f>
        <v>44.8</v>
      </c>
      <c r="M356" s="1">
        <f>(Table1[[#This Row],[Weight slab]]-0.5)/0.5</f>
        <v>0</v>
      </c>
      <c r="N356" s="1">
        <f>Table1[[#This Row],[Fixed_Charges]]+Table1[[#This Row],[No_of_Extra_slabs]]*Table1[[#This Row],[Additional_Charges]]</f>
        <v>45.4</v>
      </c>
      <c r="O356">
        <f>_xlfn.XLOOKUP(Table1[[#This Row],[OrderID]],'Courier company invoice'!B:B,'Courier company invoice'!H:H)</f>
        <v>135</v>
      </c>
      <c r="P356" s="1">
        <f>Table1[[#This Row],[Billing Amount]]-Table1[[#This Row],[Expected charges]]</f>
        <v>89.6</v>
      </c>
      <c r="Q356" s="1" t="str" cm="1">
        <f t="array" ref="Q35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57" spans="1:17" x14ac:dyDescent="0.3">
      <c r="A357" s="3" t="s">
        <v>113</v>
      </c>
      <c r="B357" s="2">
        <f>Table1[[#This Row],[Order ID]]*1</f>
        <v>2001806567</v>
      </c>
      <c r="C357" s="2">
        <v>8904223819253</v>
      </c>
      <c r="D357">
        <v>1</v>
      </c>
      <c r="E357">
        <f>_xlfn.XLOOKUP(Table1[[#This Row],[SKU (Product Code)]],'SKU Master'!A:A,'SKU Master'!B:B)</f>
        <v>290</v>
      </c>
      <c r="F357">
        <f>Table1[[#This Row],[Product weight]]*Table1[[#This Row],[Order Qty]]</f>
        <v>290</v>
      </c>
      <c r="G357">
        <f>Table1[[#This Row],[Weight per order (g)]]/1000</f>
        <v>0.28999999999999998</v>
      </c>
      <c r="H357" s="1">
        <f>CEILING(Table1[[#This Row],[Weight per order (Kg)]],0.5)</f>
        <v>0.5</v>
      </c>
      <c r="I357" t="str">
        <f>_xlfn.XLOOKUP(Table1[[#This Row],[OrderID]],'Courier company invoice'!B:B,'Courier company invoice'!F:F)</f>
        <v>d</v>
      </c>
      <c r="J357" s="1" t="str">
        <f>_xlfn.XLOOKUP(Table1[[#This Row],[OrderID]],Table2[Order ID],Table2[Type of Shipment],"Not Found")</f>
        <v>Forward charges</v>
      </c>
      <c r="K357">
        <f>INDEX(Sheet1[],1,MATCH("fwd_"&amp;Table1[[#This Row],[Zone]]&amp;"_fixed",Sheet1[#Headers],0))</f>
        <v>45.4</v>
      </c>
      <c r="L357">
        <f>INDEX(Sheet1[],1,MATCH("fwd_"&amp;Table1[[#This Row],[Zone]]&amp;"_additional",Sheet1[#Headers],0))</f>
        <v>44.8</v>
      </c>
      <c r="M357" s="1">
        <f>(Table1[[#This Row],[Weight slab]]-0.5)/0.5</f>
        <v>0</v>
      </c>
      <c r="N357" s="1">
        <f>Table1[[#This Row],[Fixed_Charges]]+Table1[[#This Row],[No_of_Extra_slabs]]*Table1[[#This Row],[Additional_Charges]]</f>
        <v>45.4</v>
      </c>
      <c r="O357">
        <f>_xlfn.XLOOKUP(Table1[[#This Row],[OrderID]],'Courier company invoice'!B:B,'Courier company invoice'!H:H)</f>
        <v>135</v>
      </c>
      <c r="P357" s="1">
        <f>Table1[[#This Row],[Billing Amount]]-Table1[[#This Row],[Expected charges]]</f>
        <v>89.6</v>
      </c>
      <c r="Q357" s="1" t="str" cm="1">
        <f t="array" ref="Q35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58" spans="1:17" x14ac:dyDescent="0.3">
      <c r="A358" s="3" t="s">
        <v>113</v>
      </c>
      <c r="B358" s="2">
        <f>Table1[[#This Row],[Order ID]]*1</f>
        <v>2001806567</v>
      </c>
      <c r="C358" s="2">
        <v>8904223815804</v>
      </c>
      <c r="D358">
        <v>1</v>
      </c>
      <c r="E358">
        <f>_xlfn.XLOOKUP(Table1[[#This Row],[SKU (Product Code)]],'SKU Master'!A:A,'SKU Master'!B:B)</f>
        <v>160</v>
      </c>
      <c r="F358">
        <f>Table1[[#This Row],[Product weight]]*Table1[[#This Row],[Order Qty]]</f>
        <v>160</v>
      </c>
      <c r="G358">
        <f>Table1[[#This Row],[Weight per order (g)]]/1000</f>
        <v>0.16</v>
      </c>
      <c r="H358" s="1">
        <f>CEILING(Table1[[#This Row],[Weight per order (Kg)]],0.5)</f>
        <v>0.5</v>
      </c>
      <c r="I358" t="str">
        <f>_xlfn.XLOOKUP(Table1[[#This Row],[OrderID]],'Courier company invoice'!B:B,'Courier company invoice'!F:F)</f>
        <v>d</v>
      </c>
      <c r="J358" s="1" t="str">
        <f>_xlfn.XLOOKUP(Table1[[#This Row],[OrderID]],Table2[Order ID],Table2[Type of Shipment],"Not Found")</f>
        <v>Forward charges</v>
      </c>
      <c r="K358">
        <f>INDEX(Sheet1[],1,MATCH("fwd_"&amp;Table1[[#This Row],[Zone]]&amp;"_fixed",Sheet1[#Headers],0))</f>
        <v>45.4</v>
      </c>
      <c r="L358">
        <f>INDEX(Sheet1[],1,MATCH("fwd_"&amp;Table1[[#This Row],[Zone]]&amp;"_additional",Sheet1[#Headers],0))</f>
        <v>44.8</v>
      </c>
      <c r="M358" s="1">
        <f>(Table1[[#This Row],[Weight slab]]-0.5)/0.5</f>
        <v>0</v>
      </c>
      <c r="N358" s="1">
        <f>Table1[[#This Row],[Fixed_Charges]]+Table1[[#This Row],[No_of_Extra_slabs]]*Table1[[#This Row],[Additional_Charges]]</f>
        <v>45.4</v>
      </c>
      <c r="O358">
        <f>_xlfn.XLOOKUP(Table1[[#This Row],[OrderID]],'Courier company invoice'!B:B,'Courier company invoice'!H:H)</f>
        <v>135</v>
      </c>
      <c r="P358" s="1">
        <f>Table1[[#This Row],[Billing Amount]]-Table1[[#This Row],[Expected charges]]</f>
        <v>89.6</v>
      </c>
      <c r="Q358" s="1" t="str" cm="1">
        <f t="array" ref="Q35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59" spans="1:17" x14ac:dyDescent="0.3">
      <c r="A359" s="3" t="s">
        <v>113</v>
      </c>
      <c r="B359" s="2">
        <f>Table1[[#This Row],[Order ID]]*1</f>
        <v>2001806567</v>
      </c>
      <c r="C359" s="2">
        <v>8904223818577</v>
      </c>
      <c r="D359">
        <v>1</v>
      </c>
      <c r="E359">
        <f>_xlfn.XLOOKUP(Table1[[#This Row],[SKU (Product Code)]],'SKU Master'!A:A,'SKU Master'!B:B)</f>
        <v>150</v>
      </c>
      <c r="F359">
        <f>Table1[[#This Row],[Product weight]]*Table1[[#This Row],[Order Qty]]</f>
        <v>150</v>
      </c>
      <c r="G359">
        <f>Table1[[#This Row],[Weight per order (g)]]/1000</f>
        <v>0.15</v>
      </c>
      <c r="H359" s="1">
        <f>CEILING(Table1[[#This Row],[Weight per order (Kg)]],0.5)</f>
        <v>0.5</v>
      </c>
      <c r="I359" t="str">
        <f>_xlfn.XLOOKUP(Table1[[#This Row],[OrderID]],'Courier company invoice'!B:B,'Courier company invoice'!F:F)</f>
        <v>d</v>
      </c>
      <c r="J359" s="1" t="str">
        <f>_xlfn.XLOOKUP(Table1[[#This Row],[OrderID]],Table2[Order ID],Table2[Type of Shipment],"Not Found")</f>
        <v>Forward charges</v>
      </c>
      <c r="K359">
        <f>INDEX(Sheet1[],1,MATCH("fwd_"&amp;Table1[[#This Row],[Zone]]&amp;"_fixed",Sheet1[#Headers],0))</f>
        <v>45.4</v>
      </c>
      <c r="L359">
        <f>INDEX(Sheet1[],1,MATCH("fwd_"&amp;Table1[[#This Row],[Zone]]&amp;"_additional",Sheet1[#Headers],0))</f>
        <v>44.8</v>
      </c>
      <c r="M359" s="1">
        <f>(Table1[[#This Row],[Weight slab]]-0.5)/0.5</f>
        <v>0</v>
      </c>
      <c r="N359" s="1">
        <f>Table1[[#This Row],[Fixed_Charges]]+Table1[[#This Row],[No_of_Extra_slabs]]*Table1[[#This Row],[Additional_Charges]]</f>
        <v>45.4</v>
      </c>
      <c r="O359">
        <f>_xlfn.XLOOKUP(Table1[[#This Row],[OrderID]],'Courier company invoice'!B:B,'Courier company invoice'!H:H)</f>
        <v>135</v>
      </c>
      <c r="P359" s="1">
        <f>Table1[[#This Row],[Billing Amount]]-Table1[[#This Row],[Expected charges]]</f>
        <v>89.6</v>
      </c>
      <c r="Q359" s="1" t="str" cm="1">
        <f t="array" ref="Q35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60" spans="1:17" x14ac:dyDescent="0.3">
      <c r="A360" s="3" t="s">
        <v>114</v>
      </c>
      <c r="B360" s="2">
        <f>Table1[[#This Row],[Order ID]]*1</f>
        <v>2001806547</v>
      </c>
      <c r="C360" s="2">
        <v>8904223818706</v>
      </c>
      <c r="D360">
        <v>1</v>
      </c>
      <c r="E360">
        <f>_xlfn.XLOOKUP(Table1[[#This Row],[SKU (Product Code)]],'SKU Master'!A:A,'SKU Master'!B:B)</f>
        <v>127</v>
      </c>
      <c r="F360">
        <f>Table1[[#This Row],[Product weight]]*Table1[[#This Row],[Order Qty]]</f>
        <v>127</v>
      </c>
      <c r="G360">
        <f>Table1[[#This Row],[Weight per order (g)]]/1000</f>
        <v>0.127</v>
      </c>
      <c r="H360" s="1">
        <f>CEILING(Table1[[#This Row],[Weight per order (Kg)]],0.5)</f>
        <v>0.5</v>
      </c>
      <c r="I360" t="str">
        <f>_xlfn.XLOOKUP(Table1[[#This Row],[OrderID]],'Courier company invoice'!B:B,'Courier company invoice'!F:F)</f>
        <v>b</v>
      </c>
      <c r="J360" s="1" t="str">
        <f>_xlfn.XLOOKUP(Table1[[#This Row],[OrderID]],Table2[Order ID],Table2[Type of Shipment],"Not Found")</f>
        <v>Forward charges</v>
      </c>
      <c r="K360">
        <f>INDEX(Sheet1[],1,MATCH("fwd_"&amp;Table1[[#This Row],[Zone]]&amp;"_fixed",Sheet1[#Headers],0))</f>
        <v>33</v>
      </c>
      <c r="L360">
        <f>INDEX(Sheet1[],1,MATCH("fwd_"&amp;Table1[[#This Row],[Zone]]&amp;"_additional",Sheet1[#Headers],0))</f>
        <v>28.3</v>
      </c>
      <c r="M360" s="1">
        <f>(Table1[[#This Row],[Weight slab]]-0.5)/0.5</f>
        <v>0</v>
      </c>
      <c r="N360" s="1">
        <f>Table1[[#This Row],[Fixed_Charges]]+Table1[[#This Row],[No_of_Extra_slabs]]*Table1[[#This Row],[Additional_Charges]]</f>
        <v>33</v>
      </c>
      <c r="O360">
        <f>_xlfn.XLOOKUP(Table1[[#This Row],[OrderID]],'Courier company invoice'!B:B,'Courier company invoice'!H:H)</f>
        <v>61.3</v>
      </c>
      <c r="P360" s="1">
        <f>Table1[[#This Row],[Billing Amount]]-Table1[[#This Row],[Expected charges]]</f>
        <v>28.299999999999997</v>
      </c>
      <c r="Q360" s="1" t="str" cm="1">
        <f t="array" ref="Q36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61" spans="1:17" x14ac:dyDescent="0.3">
      <c r="A361" s="3" t="s">
        <v>115</v>
      </c>
      <c r="B361" s="2">
        <f>Table1[[#This Row],[Order ID]]*1</f>
        <v>2001806533</v>
      </c>
      <c r="C361" s="2">
        <v>8904223818706</v>
      </c>
      <c r="D361">
        <v>1</v>
      </c>
      <c r="E361">
        <f>_xlfn.XLOOKUP(Table1[[#This Row],[SKU (Product Code)]],'SKU Master'!A:A,'SKU Master'!B:B)</f>
        <v>127</v>
      </c>
      <c r="F361">
        <f>Table1[[#This Row],[Product weight]]*Table1[[#This Row],[Order Qty]]</f>
        <v>127</v>
      </c>
      <c r="G361">
        <f>Table1[[#This Row],[Weight per order (g)]]/1000</f>
        <v>0.127</v>
      </c>
      <c r="H361" s="1">
        <f>CEILING(Table1[[#This Row],[Weight per order (Kg)]],0.5)</f>
        <v>0.5</v>
      </c>
      <c r="I361" t="str">
        <f>_xlfn.XLOOKUP(Table1[[#This Row],[OrderID]],'Courier company invoice'!B:B,'Courier company invoice'!F:F)</f>
        <v>d</v>
      </c>
      <c r="J361" s="1" t="str">
        <f>_xlfn.XLOOKUP(Table1[[#This Row],[OrderID]],Table2[Order ID],Table2[Type of Shipment],"Not Found")</f>
        <v>Forward charges</v>
      </c>
      <c r="K361">
        <f>INDEX(Sheet1[],1,MATCH("fwd_"&amp;Table1[[#This Row],[Zone]]&amp;"_fixed",Sheet1[#Headers],0))</f>
        <v>45.4</v>
      </c>
      <c r="L361">
        <f>INDEX(Sheet1[],1,MATCH("fwd_"&amp;Table1[[#This Row],[Zone]]&amp;"_additional",Sheet1[#Headers],0))</f>
        <v>44.8</v>
      </c>
      <c r="M361" s="1">
        <f>(Table1[[#This Row],[Weight slab]]-0.5)/0.5</f>
        <v>0</v>
      </c>
      <c r="N361" s="1">
        <f>Table1[[#This Row],[Fixed_Charges]]+Table1[[#This Row],[No_of_Extra_slabs]]*Table1[[#This Row],[Additional_Charges]]</f>
        <v>45.4</v>
      </c>
      <c r="O361">
        <f>_xlfn.XLOOKUP(Table1[[#This Row],[OrderID]],'Courier company invoice'!B:B,'Courier company invoice'!H:H)</f>
        <v>90.2</v>
      </c>
      <c r="P361" s="1">
        <f>Table1[[#This Row],[Billing Amount]]-Table1[[#This Row],[Expected charges]]</f>
        <v>44.800000000000004</v>
      </c>
      <c r="Q361" s="1" t="str" cm="1">
        <f t="array" ref="Q36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62" spans="1:17" x14ac:dyDescent="0.3">
      <c r="A362" s="3" t="s">
        <v>115</v>
      </c>
      <c r="B362" s="2">
        <f>Table1[[#This Row],[Order ID]]*1</f>
        <v>2001806533</v>
      </c>
      <c r="C362" s="2">
        <v>8904223818942</v>
      </c>
      <c r="D362">
        <v>1</v>
      </c>
      <c r="E362">
        <f>_xlfn.XLOOKUP(Table1[[#This Row],[SKU (Product Code)]],'SKU Master'!A:A,'SKU Master'!B:B)</f>
        <v>133</v>
      </c>
      <c r="F362">
        <f>Table1[[#This Row],[Product weight]]*Table1[[#This Row],[Order Qty]]</f>
        <v>133</v>
      </c>
      <c r="G362">
        <f>Table1[[#This Row],[Weight per order (g)]]/1000</f>
        <v>0.13300000000000001</v>
      </c>
      <c r="H362" s="1">
        <f>CEILING(Table1[[#This Row],[Weight per order (Kg)]],0.5)</f>
        <v>0.5</v>
      </c>
      <c r="I362" t="str">
        <f>_xlfn.XLOOKUP(Table1[[#This Row],[OrderID]],'Courier company invoice'!B:B,'Courier company invoice'!F:F)</f>
        <v>d</v>
      </c>
      <c r="J362" s="1" t="str">
        <f>_xlfn.XLOOKUP(Table1[[#This Row],[OrderID]],Table2[Order ID],Table2[Type of Shipment],"Not Found")</f>
        <v>Forward charges</v>
      </c>
      <c r="K362">
        <f>INDEX(Sheet1[],1,MATCH("fwd_"&amp;Table1[[#This Row],[Zone]]&amp;"_fixed",Sheet1[#Headers],0))</f>
        <v>45.4</v>
      </c>
      <c r="L362">
        <f>INDEX(Sheet1[],1,MATCH("fwd_"&amp;Table1[[#This Row],[Zone]]&amp;"_additional",Sheet1[#Headers],0))</f>
        <v>44.8</v>
      </c>
      <c r="M362" s="1">
        <f>(Table1[[#This Row],[Weight slab]]-0.5)/0.5</f>
        <v>0</v>
      </c>
      <c r="N362" s="1">
        <f>Table1[[#This Row],[Fixed_Charges]]+Table1[[#This Row],[No_of_Extra_slabs]]*Table1[[#This Row],[Additional_Charges]]</f>
        <v>45.4</v>
      </c>
      <c r="O362">
        <f>_xlfn.XLOOKUP(Table1[[#This Row],[OrderID]],'Courier company invoice'!B:B,'Courier company invoice'!H:H)</f>
        <v>90.2</v>
      </c>
      <c r="P362" s="1">
        <f>Table1[[#This Row],[Billing Amount]]-Table1[[#This Row],[Expected charges]]</f>
        <v>44.800000000000004</v>
      </c>
      <c r="Q362" s="1" t="str" cm="1">
        <f t="array" ref="Q36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63" spans="1:17" x14ac:dyDescent="0.3">
      <c r="A363" s="3" t="s">
        <v>115</v>
      </c>
      <c r="B363" s="2">
        <f>Table1[[#This Row],[Order ID]]*1</f>
        <v>2001806533</v>
      </c>
      <c r="C363" s="2">
        <v>8904223818850</v>
      </c>
      <c r="D363">
        <v>1</v>
      </c>
      <c r="E363">
        <f>_xlfn.XLOOKUP(Table1[[#This Row],[SKU (Product Code)]],'SKU Master'!A:A,'SKU Master'!B:B)</f>
        <v>240</v>
      </c>
      <c r="F363">
        <f>Table1[[#This Row],[Product weight]]*Table1[[#This Row],[Order Qty]]</f>
        <v>240</v>
      </c>
      <c r="G363">
        <f>Table1[[#This Row],[Weight per order (g)]]/1000</f>
        <v>0.24</v>
      </c>
      <c r="H363" s="1">
        <f>CEILING(Table1[[#This Row],[Weight per order (Kg)]],0.5)</f>
        <v>0.5</v>
      </c>
      <c r="I363" t="str">
        <f>_xlfn.XLOOKUP(Table1[[#This Row],[OrderID]],'Courier company invoice'!B:B,'Courier company invoice'!F:F)</f>
        <v>d</v>
      </c>
      <c r="J363" s="1" t="str">
        <f>_xlfn.XLOOKUP(Table1[[#This Row],[OrderID]],Table2[Order ID],Table2[Type of Shipment],"Not Found")</f>
        <v>Forward charges</v>
      </c>
      <c r="K363">
        <f>INDEX(Sheet1[],1,MATCH("fwd_"&amp;Table1[[#This Row],[Zone]]&amp;"_fixed",Sheet1[#Headers],0))</f>
        <v>45.4</v>
      </c>
      <c r="L363">
        <f>INDEX(Sheet1[],1,MATCH("fwd_"&amp;Table1[[#This Row],[Zone]]&amp;"_additional",Sheet1[#Headers],0))</f>
        <v>44.8</v>
      </c>
      <c r="M363" s="1">
        <f>(Table1[[#This Row],[Weight slab]]-0.5)/0.5</f>
        <v>0</v>
      </c>
      <c r="N363" s="1">
        <f>Table1[[#This Row],[Fixed_Charges]]+Table1[[#This Row],[No_of_Extra_slabs]]*Table1[[#This Row],[Additional_Charges]]</f>
        <v>45.4</v>
      </c>
      <c r="O363">
        <f>_xlfn.XLOOKUP(Table1[[#This Row],[OrderID]],'Courier company invoice'!B:B,'Courier company invoice'!H:H)</f>
        <v>90.2</v>
      </c>
      <c r="P363" s="1">
        <f>Table1[[#This Row],[Billing Amount]]-Table1[[#This Row],[Expected charges]]</f>
        <v>44.800000000000004</v>
      </c>
      <c r="Q363" s="1" t="str" cm="1">
        <f t="array" ref="Q36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64" spans="1:17" x14ac:dyDescent="0.3">
      <c r="A364" s="3" t="s">
        <v>116</v>
      </c>
      <c r="B364" s="2">
        <f>Table1[[#This Row],[Order ID]]*1</f>
        <v>2001806471</v>
      </c>
      <c r="C364" s="2">
        <v>8904223818706</v>
      </c>
      <c r="D364">
        <v>2</v>
      </c>
      <c r="E364">
        <f>_xlfn.XLOOKUP(Table1[[#This Row],[SKU (Product Code)]],'SKU Master'!A:A,'SKU Master'!B:B)</f>
        <v>127</v>
      </c>
      <c r="F364">
        <f>Table1[[#This Row],[Product weight]]*Table1[[#This Row],[Order Qty]]</f>
        <v>254</v>
      </c>
      <c r="G364">
        <f>Table1[[#This Row],[Weight per order (g)]]/1000</f>
        <v>0.254</v>
      </c>
      <c r="H364" s="1">
        <f>CEILING(Table1[[#This Row],[Weight per order (Kg)]],0.5)</f>
        <v>0.5</v>
      </c>
      <c r="I364" t="str">
        <f>_xlfn.XLOOKUP(Table1[[#This Row],[OrderID]],'Courier company invoice'!B:B,'Courier company invoice'!F:F)</f>
        <v>d</v>
      </c>
      <c r="J364" s="1" t="str">
        <f>_xlfn.XLOOKUP(Table1[[#This Row],[OrderID]],Table2[Order ID],Table2[Type of Shipment],"Not Found")</f>
        <v>Forward charges</v>
      </c>
      <c r="K364">
        <f>INDEX(Sheet1[],1,MATCH("fwd_"&amp;Table1[[#This Row],[Zone]]&amp;"_fixed",Sheet1[#Headers],0))</f>
        <v>45.4</v>
      </c>
      <c r="L364">
        <f>INDEX(Sheet1[],1,MATCH("fwd_"&amp;Table1[[#This Row],[Zone]]&amp;"_additional",Sheet1[#Headers],0))</f>
        <v>44.8</v>
      </c>
      <c r="M364" s="1">
        <f>(Table1[[#This Row],[Weight slab]]-0.5)/0.5</f>
        <v>0</v>
      </c>
      <c r="N364" s="1">
        <f>Table1[[#This Row],[Fixed_Charges]]+Table1[[#This Row],[No_of_Extra_slabs]]*Table1[[#This Row],[Additional_Charges]]</f>
        <v>45.4</v>
      </c>
      <c r="O364">
        <f>_xlfn.XLOOKUP(Table1[[#This Row],[OrderID]],'Courier company invoice'!B:B,'Courier company invoice'!H:H)</f>
        <v>179.8</v>
      </c>
      <c r="P364" s="1">
        <f>Table1[[#This Row],[Billing Amount]]-Table1[[#This Row],[Expected charges]]</f>
        <v>134.4</v>
      </c>
      <c r="Q364" s="1" t="str" cm="1">
        <f t="array" ref="Q36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65" spans="1:17" x14ac:dyDescent="0.3">
      <c r="A365" s="3" t="s">
        <v>116</v>
      </c>
      <c r="B365" s="2">
        <f>Table1[[#This Row],[Order ID]]*1</f>
        <v>2001806471</v>
      </c>
      <c r="C365" s="2">
        <v>8904223818942</v>
      </c>
      <c r="D365">
        <v>2</v>
      </c>
      <c r="E365">
        <f>_xlfn.XLOOKUP(Table1[[#This Row],[SKU (Product Code)]],'SKU Master'!A:A,'SKU Master'!B:B)</f>
        <v>133</v>
      </c>
      <c r="F365">
        <f>Table1[[#This Row],[Product weight]]*Table1[[#This Row],[Order Qty]]</f>
        <v>266</v>
      </c>
      <c r="G365">
        <f>Table1[[#This Row],[Weight per order (g)]]/1000</f>
        <v>0.26600000000000001</v>
      </c>
      <c r="H365" s="1">
        <f>CEILING(Table1[[#This Row],[Weight per order (Kg)]],0.5)</f>
        <v>0.5</v>
      </c>
      <c r="I365" t="str">
        <f>_xlfn.XLOOKUP(Table1[[#This Row],[OrderID]],'Courier company invoice'!B:B,'Courier company invoice'!F:F)</f>
        <v>d</v>
      </c>
      <c r="J365" s="1" t="str">
        <f>_xlfn.XLOOKUP(Table1[[#This Row],[OrderID]],Table2[Order ID],Table2[Type of Shipment],"Not Found")</f>
        <v>Forward charges</v>
      </c>
      <c r="K365">
        <f>INDEX(Sheet1[],1,MATCH("fwd_"&amp;Table1[[#This Row],[Zone]]&amp;"_fixed",Sheet1[#Headers],0))</f>
        <v>45.4</v>
      </c>
      <c r="L365">
        <f>INDEX(Sheet1[],1,MATCH("fwd_"&amp;Table1[[#This Row],[Zone]]&amp;"_additional",Sheet1[#Headers],0))</f>
        <v>44.8</v>
      </c>
      <c r="M365" s="1">
        <f>(Table1[[#This Row],[Weight slab]]-0.5)/0.5</f>
        <v>0</v>
      </c>
      <c r="N365" s="1">
        <f>Table1[[#This Row],[Fixed_Charges]]+Table1[[#This Row],[No_of_Extra_slabs]]*Table1[[#This Row],[Additional_Charges]]</f>
        <v>45.4</v>
      </c>
      <c r="O365">
        <f>_xlfn.XLOOKUP(Table1[[#This Row],[OrderID]],'Courier company invoice'!B:B,'Courier company invoice'!H:H)</f>
        <v>179.8</v>
      </c>
      <c r="P365" s="1">
        <f>Table1[[#This Row],[Billing Amount]]-Table1[[#This Row],[Expected charges]]</f>
        <v>134.4</v>
      </c>
      <c r="Q365" s="1" t="str" cm="1">
        <f t="array" ref="Q36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66" spans="1:17" x14ac:dyDescent="0.3">
      <c r="A366" s="3" t="s">
        <v>116</v>
      </c>
      <c r="B366" s="2">
        <f>Table1[[#This Row],[Order ID]]*1</f>
        <v>2001806471</v>
      </c>
      <c r="C366" s="2">
        <v>8904223818850</v>
      </c>
      <c r="D366">
        <v>2</v>
      </c>
      <c r="E366">
        <f>_xlfn.XLOOKUP(Table1[[#This Row],[SKU (Product Code)]],'SKU Master'!A:A,'SKU Master'!B:B)</f>
        <v>240</v>
      </c>
      <c r="F366">
        <f>Table1[[#This Row],[Product weight]]*Table1[[#This Row],[Order Qty]]</f>
        <v>480</v>
      </c>
      <c r="G366">
        <f>Table1[[#This Row],[Weight per order (g)]]/1000</f>
        <v>0.48</v>
      </c>
      <c r="H366" s="1">
        <f>CEILING(Table1[[#This Row],[Weight per order (Kg)]],0.5)</f>
        <v>0.5</v>
      </c>
      <c r="I366" t="str">
        <f>_xlfn.XLOOKUP(Table1[[#This Row],[OrderID]],'Courier company invoice'!B:B,'Courier company invoice'!F:F)</f>
        <v>d</v>
      </c>
      <c r="J366" s="1" t="str">
        <f>_xlfn.XLOOKUP(Table1[[#This Row],[OrderID]],Table2[Order ID],Table2[Type of Shipment],"Not Found")</f>
        <v>Forward charges</v>
      </c>
      <c r="K366">
        <f>INDEX(Sheet1[],1,MATCH("fwd_"&amp;Table1[[#This Row],[Zone]]&amp;"_fixed",Sheet1[#Headers],0))</f>
        <v>45.4</v>
      </c>
      <c r="L366">
        <f>INDEX(Sheet1[],1,MATCH("fwd_"&amp;Table1[[#This Row],[Zone]]&amp;"_additional",Sheet1[#Headers],0))</f>
        <v>44.8</v>
      </c>
      <c r="M366" s="1">
        <f>(Table1[[#This Row],[Weight slab]]-0.5)/0.5</f>
        <v>0</v>
      </c>
      <c r="N366" s="1">
        <f>Table1[[#This Row],[Fixed_Charges]]+Table1[[#This Row],[No_of_Extra_slabs]]*Table1[[#This Row],[Additional_Charges]]</f>
        <v>45.4</v>
      </c>
      <c r="O366">
        <f>_xlfn.XLOOKUP(Table1[[#This Row],[OrderID]],'Courier company invoice'!B:B,'Courier company invoice'!H:H)</f>
        <v>179.8</v>
      </c>
      <c r="P366" s="1">
        <f>Table1[[#This Row],[Billing Amount]]-Table1[[#This Row],[Expected charges]]</f>
        <v>134.4</v>
      </c>
      <c r="Q366" s="1" t="str" cm="1">
        <f t="array" ref="Q36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67" spans="1:17" x14ac:dyDescent="0.3">
      <c r="A367" s="3" t="s">
        <v>116</v>
      </c>
      <c r="B367" s="2">
        <f>Table1[[#This Row],[Order ID]]*1</f>
        <v>2001806471</v>
      </c>
      <c r="C367" s="2">
        <v>8904223818706</v>
      </c>
      <c r="D367">
        <v>1</v>
      </c>
      <c r="E367">
        <f>_xlfn.XLOOKUP(Table1[[#This Row],[SKU (Product Code)]],'SKU Master'!A:A,'SKU Master'!B:B)</f>
        <v>127</v>
      </c>
      <c r="F367">
        <f>Table1[[#This Row],[Product weight]]*Table1[[#This Row],[Order Qty]]</f>
        <v>127</v>
      </c>
      <c r="G367">
        <f>Table1[[#This Row],[Weight per order (g)]]/1000</f>
        <v>0.127</v>
      </c>
      <c r="H367" s="1">
        <f>CEILING(Table1[[#This Row],[Weight per order (Kg)]],0.5)</f>
        <v>0.5</v>
      </c>
      <c r="I367" t="str">
        <f>_xlfn.XLOOKUP(Table1[[#This Row],[OrderID]],'Courier company invoice'!B:B,'Courier company invoice'!F:F)</f>
        <v>d</v>
      </c>
      <c r="J367" s="1" t="str">
        <f>_xlfn.XLOOKUP(Table1[[#This Row],[OrderID]],Table2[Order ID],Table2[Type of Shipment],"Not Found")</f>
        <v>Forward charges</v>
      </c>
      <c r="K367">
        <f>INDEX(Sheet1[],1,MATCH("fwd_"&amp;Table1[[#This Row],[Zone]]&amp;"_fixed",Sheet1[#Headers],0))</f>
        <v>45.4</v>
      </c>
      <c r="L367">
        <f>INDEX(Sheet1[],1,MATCH("fwd_"&amp;Table1[[#This Row],[Zone]]&amp;"_additional",Sheet1[#Headers],0))</f>
        <v>44.8</v>
      </c>
      <c r="M367" s="1">
        <f>(Table1[[#This Row],[Weight slab]]-0.5)/0.5</f>
        <v>0</v>
      </c>
      <c r="N367" s="1">
        <f>Table1[[#This Row],[Fixed_Charges]]+Table1[[#This Row],[No_of_Extra_slabs]]*Table1[[#This Row],[Additional_Charges]]</f>
        <v>45.4</v>
      </c>
      <c r="O367">
        <f>_xlfn.XLOOKUP(Table1[[#This Row],[OrderID]],'Courier company invoice'!B:B,'Courier company invoice'!H:H)</f>
        <v>179.8</v>
      </c>
      <c r="P367" s="1">
        <f>Table1[[#This Row],[Billing Amount]]-Table1[[#This Row],[Expected charges]]</f>
        <v>134.4</v>
      </c>
      <c r="Q367" s="1" t="str" cm="1">
        <f t="array" ref="Q36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68" spans="1:17" x14ac:dyDescent="0.3">
      <c r="A368" s="3" t="s">
        <v>116</v>
      </c>
      <c r="B368" s="2">
        <f>Table1[[#This Row],[Order ID]]*1</f>
        <v>2001806471</v>
      </c>
      <c r="C368" s="2">
        <v>8904223818942</v>
      </c>
      <c r="D368">
        <v>1</v>
      </c>
      <c r="E368">
        <f>_xlfn.XLOOKUP(Table1[[#This Row],[SKU (Product Code)]],'SKU Master'!A:A,'SKU Master'!B:B)</f>
        <v>133</v>
      </c>
      <c r="F368">
        <f>Table1[[#This Row],[Product weight]]*Table1[[#This Row],[Order Qty]]</f>
        <v>133</v>
      </c>
      <c r="G368">
        <f>Table1[[#This Row],[Weight per order (g)]]/1000</f>
        <v>0.13300000000000001</v>
      </c>
      <c r="H368" s="1">
        <f>CEILING(Table1[[#This Row],[Weight per order (Kg)]],0.5)</f>
        <v>0.5</v>
      </c>
      <c r="I368" t="str">
        <f>_xlfn.XLOOKUP(Table1[[#This Row],[OrderID]],'Courier company invoice'!B:B,'Courier company invoice'!F:F)</f>
        <v>d</v>
      </c>
      <c r="J368" s="1" t="str">
        <f>_xlfn.XLOOKUP(Table1[[#This Row],[OrderID]],Table2[Order ID],Table2[Type of Shipment],"Not Found")</f>
        <v>Forward charges</v>
      </c>
      <c r="K368">
        <f>INDEX(Sheet1[],1,MATCH("fwd_"&amp;Table1[[#This Row],[Zone]]&amp;"_fixed",Sheet1[#Headers],0))</f>
        <v>45.4</v>
      </c>
      <c r="L368">
        <f>INDEX(Sheet1[],1,MATCH("fwd_"&amp;Table1[[#This Row],[Zone]]&amp;"_additional",Sheet1[#Headers],0))</f>
        <v>44.8</v>
      </c>
      <c r="M368" s="1">
        <f>(Table1[[#This Row],[Weight slab]]-0.5)/0.5</f>
        <v>0</v>
      </c>
      <c r="N368" s="1">
        <f>Table1[[#This Row],[Fixed_Charges]]+Table1[[#This Row],[No_of_Extra_slabs]]*Table1[[#This Row],[Additional_Charges]]</f>
        <v>45.4</v>
      </c>
      <c r="O368">
        <f>_xlfn.XLOOKUP(Table1[[#This Row],[OrderID]],'Courier company invoice'!B:B,'Courier company invoice'!H:H)</f>
        <v>179.8</v>
      </c>
      <c r="P368" s="1">
        <f>Table1[[#This Row],[Billing Amount]]-Table1[[#This Row],[Expected charges]]</f>
        <v>134.4</v>
      </c>
      <c r="Q368" s="1" t="str" cm="1">
        <f t="array" ref="Q36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69" spans="1:17" x14ac:dyDescent="0.3">
      <c r="A369" s="3" t="s">
        <v>116</v>
      </c>
      <c r="B369" s="2">
        <f>Table1[[#This Row],[Order ID]]*1</f>
        <v>2001806471</v>
      </c>
      <c r="C369" s="2">
        <v>8904223818850</v>
      </c>
      <c r="D369">
        <v>1</v>
      </c>
      <c r="E369">
        <f>_xlfn.XLOOKUP(Table1[[#This Row],[SKU (Product Code)]],'SKU Master'!A:A,'SKU Master'!B:B)</f>
        <v>240</v>
      </c>
      <c r="F369">
        <f>Table1[[#This Row],[Product weight]]*Table1[[#This Row],[Order Qty]]</f>
        <v>240</v>
      </c>
      <c r="G369">
        <f>Table1[[#This Row],[Weight per order (g)]]/1000</f>
        <v>0.24</v>
      </c>
      <c r="H369" s="1">
        <f>CEILING(Table1[[#This Row],[Weight per order (Kg)]],0.5)</f>
        <v>0.5</v>
      </c>
      <c r="I369" t="str">
        <f>_xlfn.XLOOKUP(Table1[[#This Row],[OrderID]],'Courier company invoice'!B:B,'Courier company invoice'!F:F)</f>
        <v>d</v>
      </c>
      <c r="J369" s="1" t="str">
        <f>_xlfn.XLOOKUP(Table1[[#This Row],[OrderID]],Table2[Order ID],Table2[Type of Shipment],"Not Found")</f>
        <v>Forward charges</v>
      </c>
      <c r="K369">
        <f>INDEX(Sheet1[],1,MATCH("fwd_"&amp;Table1[[#This Row],[Zone]]&amp;"_fixed",Sheet1[#Headers],0))</f>
        <v>45.4</v>
      </c>
      <c r="L369">
        <f>INDEX(Sheet1[],1,MATCH("fwd_"&amp;Table1[[#This Row],[Zone]]&amp;"_additional",Sheet1[#Headers],0))</f>
        <v>44.8</v>
      </c>
      <c r="M369" s="1">
        <f>(Table1[[#This Row],[Weight slab]]-0.5)/0.5</f>
        <v>0</v>
      </c>
      <c r="N369" s="1">
        <f>Table1[[#This Row],[Fixed_Charges]]+Table1[[#This Row],[No_of_Extra_slabs]]*Table1[[#This Row],[Additional_Charges]]</f>
        <v>45.4</v>
      </c>
      <c r="O369">
        <f>_xlfn.XLOOKUP(Table1[[#This Row],[OrderID]],'Courier company invoice'!B:B,'Courier company invoice'!H:H)</f>
        <v>179.8</v>
      </c>
      <c r="P369" s="1">
        <f>Table1[[#This Row],[Billing Amount]]-Table1[[#This Row],[Expected charges]]</f>
        <v>134.4</v>
      </c>
      <c r="Q369" s="1" t="str" cm="1">
        <f t="array" ref="Q36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70" spans="1:17" x14ac:dyDescent="0.3">
      <c r="A370" s="3" t="s">
        <v>116</v>
      </c>
      <c r="B370" s="2">
        <f>Table1[[#This Row],[Order ID]]*1</f>
        <v>2001806471</v>
      </c>
      <c r="C370" s="2">
        <v>8904223818683</v>
      </c>
      <c r="D370">
        <v>1</v>
      </c>
      <c r="E370">
        <f>_xlfn.XLOOKUP(Table1[[#This Row],[SKU (Product Code)]],'SKU Master'!A:A,'SKU Master'!B:B)</f>
        <v>121</v>
      </c>
      <c r="F370">
        <f>Table1[[#This Row],[Product weight]]*Table1[[#This Row],[Order Qty]]</f>
        <v>121</v>
      </c>
      <c r="G370">
        <f>Table1[[#This Row],[Weight per order (g)]]/1000</f>
        <v>0.121</v>
      </c>
      <c r="H370" s="1">
        <f>CEILING(Table1[[#This Row],[Weight per order (Kg)]],0.5)</f>
        <v>0.5</v>
      </c>
      <c r="I370" t="str">
        <f>_xlfn.XLOOKUP(Table1[[#This Row],[OrderID]],'Courier company invoice'!B:B,'Courier company invoice'!F:F)</f>
        <v>d</v>
      </c>
      <c r="J370" s="1" t="str">
        <f>_xlfn.XLOOKUP(Table1[[#This Row],[OrderID]],Table2[Order ID],Table2[Type of Shipment],"Not Found")</f>
        <v>Forward charges</v>
      </c>
      <c r="K370">
        <f>INDEX(Sheet1[],1,MATCH("fwd_"&amp;Table1[[#This Row],[Zone]]&amp;"_fixed",Sheet1[#Headers],0))</f>
        <v>45.4</v>
      </c>
      <c r="L370">
        <f>INDEX(Sheet1[],1,MATCH("fwd_"&amp;Table1[[#This Row],[Zone]]&amp;"_additional",Sheet1[#Headers],0))</f>
        <v>44.8</v>
      </c>
      <c r="M370" s="1">
        <f>(Table1[[#This Row],[Weight slab]]-0.5)/0.5</f>
        <v>0</v>
      </c>
      <c r="N370" s="1">
        <f>Table1[[#This Row],[Fixed_Charges]]+Table1[[#This Row],[No_of_Extra_slabs]]*Table1[[#This Row],[Additional_Charges]]</f>
        <v>45.4</v>
      </c>
      <c r="O370">
        <f>_xlfn.XLOOKUP(Table1[[#This Row],[OrderID]],'Courier company invoice'!B:B,'Courier company invoice'!H:H)</f>
        <v>179.8</v>
      </c>
      <c r="P370" s="1">
        <f>Table1[[#This Row],[Billing Amount]]-Table1[[#This Row],[Expected charges]]</f>
        <v>134.4</v>
      </c>
      <c r="Q370" s="1" t="str" cm="1">
        <f t="array" ref="Q37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71" spans="1:17" x14ac:dyDescent="0.3">
      <c r="A371" s="3" t="s">
        <v>117</v>
      </c>
      <c r="B371" s="2">
        <f>Table1[[#This Row],[Order ID]]*1</f>
        <v>2001806458</v>
      </c>
      <c r="C371" s="2">
        <v>8904223819284</v>
      </c>
      <c r="D371">
        <v>1</v>
      </c>
      <c r="E371">
        <f>_xlfn.XLOOKUP(Table1[[#This Row],[SKU (Product Code)]],'SKU Master'!A:A,'SKU Master'!B:B)</f>
        <v>350</v>
      </c>
      <c r="F371">
        <f>Table1[[#This Row],[Product weight]]*Table1[[#This Row],[Order Qty]]</f>
        <v>350</v>
      </c>
      <c r="G371">
        <f>Table1[[#This Row],[Weight per order (g)]]/1000</f>
        <v>0.35</v>
      </c>
      <c r="H371" s="1">
        <f>CEILING(Table1[[#This Row],[Weight per order (Kg)]],0.5)</f>
        <v>0.5</v>
      </c>
      <c r="I371" t="str">
        <f>_xlfn.XLOOKUP(Table1[[#This Row],[OrderID]],'Courier company invoice'!B:B,'Courier company invoice'!F:F)</f>
        <v>b</v>
      </c>
      <c r="J371" s="1" t="str">
        <f>_xlfn.XLOOKUP(Table1[[#This Row],[OrderID]],Table2[Order ID],Table2[Type of Shipment],"Not Found")</f>
        <v>Forward charges</v>
      </c>
      <c r="K371">
        <f>INDEX(Sheet1[],1,MATCH("fwd_"&amp;Table1[[#This Row],[Zone]]&amp;"_fixed",Sheet1[#Headers],0))</f>
        <v>33</v>
      </c>
      <c r="L371">
        <f>INDEX(Sheet1[],1,MATCH("fwd_"&amp;Table1[[#This Row],[Zone]]&amp;"_additional",Sheet1[#Headers],0))</f>
        <v>28.3</v>
      </c>
      <c r="M371" s="1">
        <f>(Table1[[#This Row],[Weight slab]]-0.5)/0.5</f>
        <v>0</v>
      </c>
      <c r="N371" s="1">
        <f>Table1[[#This Row],[Fixed_Charges]]+Table1[[#This Row],[No_of_Extra_slabs]]*Table1[[#This Row],[Additional_Charges]]</f>
        <v>33</v>
      </c>
      <c r="O371">
        <f>_xlfn.XLOOKUP(Table1[[#This Row],[OrderID]],'Courier company invoice'!B:B,'Courier company invoice'!H:H)</f>
        <v>61.3</v>
      </c>
      <c r="P371" s="1">
        <f>Table1[[#This Row],[Billing Amount]]-Table1[[#This Row],[Expected charges]]</f>
        <v>28.299999999999997</v>
      </c>
      <c r="Q371" s="1" t="str" cm="1">
        <f t="array" ref="Q37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72" spans="1:17" x14ac:dyDescent="0.3">
      <c r="A372" s="3" t="s">
        <v>117</v>
      </c>
      <c r="B372" s="2">
        <f>Table1[[#This Row],[Order ID]]*1</f>
        <v>2001806458</v>
      </c>
      <c r="C372" s="2">
        <v>8904223818478</v>
      </c>
      <c r="D372">
        <v>1</v>
      </c>
      <c r="E372">
        <f>_xlfn.XLOOKUP(Table1[[#This Row],[SKU (Product Code)]],'SKU Master'!A:A,'SKU Master'!B:B)</f>
        <v>350</v>
      </c>
      <c r="F372">
        <f>Table1[[#This Row],[Product weight]]*Table1[[#This Row],[Order Qty]]</f>
        <v>350</v>
      </c>
      <c r="G372">
        <f>Table1[[#This Row],[Weight per order (g)]]/1000</f>
        <v>0.35</v>
      </c>
      <c r="H372" s="1">
        <f>CEILING(Table1[[#This Row],[Weight per order (Kg)]],0.5)</f>
        <v>0.5</v>
      </c>
      <c r="I372" t="str">
        <f>_xlfn.XLOOKUP(Table1[[#This Row],[OrderID]],'Courier company invoice'!B:B,'Courier company invoice'!F:F)</f>
        <v>b</v>
      </c>
      <c r="J372" s="1" t="str">
        <f>_xlfn.XLOOKUP(Table1[[#This Row],[OrderID]],Table2[Order ID],Table2[Type of Shipment],"Not Found")</f>
        <v>Forward charges</v>
      </c>
      <c r="K372">
        <f>INDEX(Sheet1[],1,MATCH("fwd_"&amp;Table1[[#This Row],[Zone]]&amp;"_fixed",Sheet1[#Headers],0))</f>
        <v>33</v>
      </c>
      <c r="L372">
        <f>INDEX(Sheet1[],1,MATCH("fwd_"&amp;Table1[[#This Row],[Zone]]&amp;"_additional",Sheet1[#Headers],0))</f>
        <v>28.3</v>
      </c>
      <c r="M372" s="1">
        <f>(Table1[[#This Row],[Weight slab]]-0.5)/0.5</f>
        <v>0</v>
      </c>
      <c r="N372" s="1">
        <f>Table1[[#This Row],[Fixed_Charges]]+Table1[[#This Row],[No_of_Extra_slabs]]*Table1[[#This Row],[Additional_Charges]]</f>
        <v>33</v>
      </c>
      <c r="O372">
        <f>_xlfn.XLOOKUP(Table1[[#This Row],[OrderID]],'Courier company invoice'!B:B,'Courier company invoice'!H:H)</f>
        <v>61.3</v>
      </c>
      <c r="P372" s="1">
        <f>Table1[[#This Row],[Billing Amount]]-Table1[[#This Row],[Expected charges]]</f>
        <v>28.299999999999997</v>
      </c>
      <c r="Q372" s="1" t="str" cm="1">
        <f t="array" ref="Q37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73" spans="1:17" x14ac:dyDescent="0.3">
      <c r="A373" s="3" t="s">
        <v>118</v>
      </c>
      <c r="B373" s="2">
        <f>Table1[[#This Row],[Order ID]]*1</f>
        <v>2001806446</v>
      </c>
      <c r="C373" s="2">
        <v>8904223818706</v>
      </c>
      <c r="D373">
        <v>1</v>
      </c>
      <c r="E373">
        <f>_xlfn.XLOOKUP(Table1[[#This Row],[SKU (Product Code)]],'SKU Master'!A:A,'SKU Master'!B:B)</f>
        <v>127</v>
      </c>
      <c r="F373">
        <f>Table1[[#This Row],[Product weight]]*Table1[[#This Row],[Order Qty]]</f>
        <v>127</v>
      </c>
      <c r="G373">
        <f>Table1[[#This Row],[Weight per order (g)]]/1000</f>
        <v>0.127</v>
      </c>
      <c r="H373" s="1">
        <f>CEILING(Table1[[#This Row],[Weight per order (Kg)]],0.5)</f>
        <v>0.5</v>
      </c>
      <c r="I373" t="str">
        <f>_xlfn.XLOOKUP(Table1[[#This Row],[OrderID]],'Courier company invoice'!B:B,'Courier company invoice'!F:F)</f>
        <v>d</v>
      </c>
      <c r="J373" s="1" t="str">
        <f>_xlfn.XLOOKUP(Table1[[#This Row],[OrderID]],Table2[Order ID],Table2[Type of Shipment],"Not Found")</f>
        <v>Forward charges</v>
      </c>
      <c r="K373">
        <f>INDEX(Sheet1[],1,MATCH("fwd_"&amp;Table1[[#This Row],[Zone]]&amp;"_fixed",Sheet1[#Headers],0))</f>
        <v>45.4</v>
      </c>
      <c r="L373">
        <f>INDEX(Sheet1[],1,MATCH("fwd_"&amp;Table1[[#This Row],[Zone]]&amp;"_additional",Sheet1[#Headers],0))</f>
        <v>44.8</v>
      </c>
      <c r="M373" s="1">
        <f>(Table1[[#This Row],[Weight slab]]-0.5)/0.5</f>
        <v>0</v>
      </c>
      <c r="N373" s="1">
        <f>Table1[[#This Row],[Fixed_Charges]]+Table1[[#This Row],[No_of_Extra_slabs]]*Table1[[#This Row],[Additional_Charges]]</f>
        <v>45.4</v>
      </c>
      <c r="O373">
        <f>_xlfn.XLOOKUP(Table1[[#This Row],[OrderID]],'Courier company invoice'!B:B,'Courier company invoice'!H:H)</f>
        <v>90.2</v>
      </c>
      <c r="P373" s="1">
        <f>Table1[[#This Row],[Billing Amount]]-Table1[[#This Row],[Expected charges]]</f>
        <v>44.800000000000004</v>
      </c>
      <c r="Q373" s="1" t="str" cm="1">
        <f t="array" ref="Q37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74" spans="1:17" x14ac:dyDescent="0.3">
      <c r="A374" s="3" t="s">
        <v>118</v>
      </c>
      <c r="B374" s="2">
        <f>Table1[[#This Row],[Order ID]]*1</f>
        <v>2001806446</v>
      </c>
      <c r="C374" s="2">
        <v>8904223818942</v>
      </c>
      <c r="D374">
        <v>1</v>
      </c>
      <c r="E374">
        <f>_xlfn.XLOOKUP(Table1[[#This Row],[SKU (Product Code)]],'SKU Master'!A:A,'SKU Master'!B:B)</f>
        <v>133</v>
      </c>
      <c r="F374">
        <f>Table1[[#This Row],[Product weight]]*Table1[[#This Row],[Order Qty]]</f>
        <v>133</v>
      </c>
      <c r="G374">
        <f>Table1[[#This Row],[Weight per order (g)]]/1000</f>
        <v>0.13300000000000001</v>
      </c>
      <c r="H374" s="1">
        <f>CEILING(Table1[[#This Row],[Weight per order (Kg)]],0.5)</f>
        <v>0.5</v>
      </c>
      <c r="I374" t="str">
        <f>_xlfn.XLOOKUP(Table1[[#This Row],[OrderID]],'Courier company invoice'!B:B,'Courier company invoice'!F:F)</f>
        <v>d</v>
      </c>
      <c r="J374" s="1" t="str">
        <f>_xlfn.XLOOKUP(Table1[[#This Row],[OrderID]],Table2[Order ID],Table2[Type of Shipment],"Not Found")</f>
        <v>Forward charges</v>
      </c>
      <c r="K374">
        <f>INDEX(Sheet1[],1,MATCH("fwd_"&amp;Table1[[#This Row],[Zone]]&amp;"_fixed",Sheet1[#Headers],0))</f>
        <v>45.4</v>
      </c>
      <c r="L374">
        <f>INDEX(Sheet1[],1,MATCH("fwd_"&amp;Table1[[#This Row],[Zone]]&amp;"_additional",Sheet1[#Headers],0))</f>
        <v>44.8</v>
      </c>
      <c r="M374" s="1">
        <f>(Table1[[#This Row],[Weight slab]]-0.5)/0.5</f>
        <v>0</v>
      </c>
      <c r="N374" s="1">
        <f>Table1[[#This Row],[Fixed_Charges]]+Table1[[#This Row],[No_of_Extra_slabs]]*Table1[[#This Row],[Additional_Charges]]</f>
        <v>45.4</v>
      </c>
      <c r="O374">
        <f>_xlfn.XLOOKUP(Table1[[#This Row],[OrderID]],'Courier company invoice'!B:B,'Courier company invoice'!H:H)</f>
        <v>90.2</v>
      </c>
      <c r="P374" s="1">
        <f>Table1[[#This Row],[Billing Amount]]-Table1[[#This Row],[Expected charges]]</f>
        <v>44.800000000000004</v>
      </c>
      <c r="Q374" s="1" t="str" cm="1">
        <f t="array" ref="Q37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75" spans="1:17" x14ac:dyDescent="0.3">
      <c r="A375" s="3" t="s">
        <v>118</v>
      </c>
      <c r="B375" s="2">
        <f>Table1[[#This Row],[Order ID]]*1</f>
        <v>2001806446</v>
      </c>
      <c r="C375" s="2">
        <v>8904223818850</v>
      </c>
      <c r="D375">
        <v>1</v>
      </c>
      <c r="E375">
        <f>_xlfn.XLOOKUP(Table1[[#This Row],[SKU (Product Code)]],'SKU Master'!A:A,'SKU Master'!B:B)</f>
        <v>240</v>
      </c>
      <c r="F375">
        <f>Table1[[#This Row],[Product weight]]*Table1[[#This Row],[Order Qty]]</f>
        <v>240</v>
      </c>
      <c r="G375">
        <f>Table1[[#This Row],[Weight per order (g)]]/1000</f>
        <v>0.24</v>
      </c>
      <c r="H375" s="1">
        <f>CEILING(Table1[[#This Row],[Weight per order (Kg)]],0.5)</f>
        <v>0.5</v>
      </c>
      <c r="I375" t="str">
        <f>_xlfn.XLOOKUP(Table1[[#This Row],[OrderID]],'Courier company invoice'!B:B,'Courier company invoice'!F:F)</f>
        <v>d</v>
      </c>
      <c r="J375" s="1" t="str">
        <f>_xlfn.XLOOKUP(Table1[[#This Row],[OrderID]],Table2[Order ID],Table2[Type of Shipment],"Not Found")</f>
        <v>Forward charges</v>
      </c>
      <c r="K375">
        <f>INDEX(Sheet1[],1,MATCH("fwd_"&amp;Table1[[#This Row],[Zone]]&amp;"_fixed",Sheet1[#Headers],0))</f>
        <v>45.4</v>
      </c>
      <c r="L375">
        <f>INDEX(Sheet1[],1,MATCH("fwd_"&amp;Table1[[#This Row],[Zone]]&amp;"_additional",Sheet1[#Headers],0))</f>
        <v>44.8</v>
      </c>
      <c r="M375" s="1">
        <f>(Table1[[#This Row],[Weight slab]]-0.5)/0.5</f>
        <v>0</v>
      </c>
      <c r="N375" s="1">
        <f>Table1[[#This Row],[Fixed_Charges]]+Table1[[#This Row],[No_of_Extra_slabs]]*Table1[[#This Row],[Additional_Charges]]</f>
        <v>45.4</v>
      </c>
      <c r="O375">
        <f>_xlfn.XLOOKUP(Table1[[#This Row],[OrderID]],'Courier company invoice'!B:B,'Courier company invoice'!H:H)</f>
        <v>90.2</v>
      </c>
      <c r="P375" s="1">
        <f>Table1[[#This Row],[Billing Amount]]-Table1[[#This Row],[Expected charges]]</f>
        <v>44.800000000000004</v>
      </c>
      <c r="Q375" s="1" t="str" cm="1">
        <f t="array" ref="Q37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76" spans="1:17" x14ac:dyDescent="0.3">
      <c r="A376" s="3" t="s">
        <v>119</v>
      </c>
      <c r="B376" s="2">
        <f>Table1[[#This Row],[Order ID]]*1</f>
        <v>2001806408</v>
      </c>
      <c r="C376" s="2">
        <v>8904223819437</v>
      </c>
      <c r="D376">
        <v>2</v>
      </c>
      <c r="E376">
        <f>_xlfn.XLOOKUP(Table1[[#This Row],[SKU (Product Code)]],'SKU Master'!A:A,'SKU Master'!B:B)</f>
        <v>552</v>
      </c>
      <c r="F376">
        <f>Table1[[#This Row],[Product weight]]*Table1[[#This Row],[Order Qty]]</f>
        <v>1104</v>
      </c>
      <c r="G376">
        <f>Table1[[#This Row],[Weight per order (g)]]/1000</f>
        <v>1.1040000000000001</v>
      </c>
      <c r="H376" s="1">
        <f>CEILING(Table1[[#This Row],[Weight per order (Kg)]],0.5)</f>
        <v>1.5</v>
      </c>
      <c r="I376" t="str">
        <f>_xlfn.XLOOKUP(Table1[[#This Row],[OrderID]],'Courier company invoice'!B:B,'Courier company invoice'!F:F)</f>
        <v>d</v>
      </c>
      <c r="J376" s="1" t="str">
        <f>_xlfn.XLOOKUP(Table1[[#This Row],[OrderID]],Table2[Order ID],Table2[Type of Shipment],"Not Found")</f>
        <v>Forward charges</v>
      </c>
      <c r="K376">
        <f>INDEX(Sheet1[],1,MATCH("fwd_"&amp;Table1[[#This Row],[Zone]]&amp;"_fixed",Sheet1[#Headers],0))</f>
        <v>45.4</v>
      </c>
      <c r="L376">
        <f>INDEX(Sheet1[],1,MATCH("fwd_"&amp;Table1[[#This Row],[Zone]]&amp;"_additional",Sheet1[#Headers],0))</f>
        <v>44.8</v>
      </c>
      <c r="M376" s="1">
        <f>(Table1[[#This Row],[Weight slab]]-0.5)/0.5</f>
        <v>2</v>
      </c>
      <c r="N376" s="1">
        <f>Table1[[#This Row],[Fixed_Charges]]+Table1[[#This Row],[No_of_Extra_slabs]]*Table1[[#This Row],[Additional_Charges]]</f>
        <v>135</v>
      </c>
      <c r="O376">
        <f>_xlfn.XLOOKUP(Table1[[#This Row],[OrderID]],'Courier company invoice'!B:B,'Courier company invoice'!H:H)</f>
        <v>224.6</v>
      </c>
      <c r="P376" s="1">
        <f>Table1[[#This Row],[Billing Amount]]-Table1[[#This Row],[Expected charges]]</f>
        <v>89.6</v>
      </c>
      <c r="Q376" s="1" t="str" cm="1">
        <f t="array" ref="Q37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77" spans="1:17" x14ac:dyDescent="0.3">
      <c r="A377" s="3" t="s">
        <v>119</v>
      </c>
      <c r="B377" s="2">
        <f>Table1[[#This Row],[Order ID]]*1</f>
        <v>2001806408</v>
      </c>
      <c r="C377" s="2">
        <v>8904223819352</v>
      </c>
      <c r="D377">
        <v>1</v>
      </c>
      <c r="E377">
        <f>_xlfn.XLOOKUP(Table1[[#This Row],[SKU (Product Code)]],'SKU Master'!A:A,'SKU Master'!B:B)</f>
        <v>165</v>
      </c>
      <c r="F377">
        <f>Table1[[#This Row],[Product weight]]*Table1[[#This Row],[Order Qty]]</f>
        <v>165</v>
      </c>
      <c r="G377">
        <f>Table1[[#This Row],[Weight per order (g)]]/1000</f>
        <v>0.16500000000000001</v>
      </c>
      <c r="H377" s="1">
        <f>CEILING(Table1[[#This Row],[Weight per order (Kg)]],0.5)</f>
        <v>0.5</v>
      </c>
      <c r="I377" t="str">
        <f>_xlfn.XLOOKUP(Table1[[#This Row],[OrderID]],'Courier company invoice'!B:B,'Courier company invoice'!F:F)</f>
        <v>d</v>
      </c>
      <c r="J377" s="1" t="str">
        <f>_xlfn.XLOOKUP(Table1[[#This Row],[OrderID]],Table2[Order ID],Table2[Type of Shipment],"Not Found")</f>
        <v>Forward charges</v>
      </c>
      <c r="K377">
        <f>INDEX(Sheet1[],1,MATCH("fwd_"&amp;Table1[[#This Row],[Zone]]&amp;"_fixed",Sheet1[#Headers],0))</f>
        <v>45.4</v>
      </c>
      <c r="L377">
        <f>INDEX(Sheet1[],1,MATCH("fwd_"&amp;Table1[[#This Row],[Zone]]&amp;"_additional",Sheet1[#Headers],0))</f>
        <v>44.8</v>
      </c>
      <c r="M377" s="1">
        <f>(Table1[[#This Row],[Weight slab]]-0.5)/0.5</f>
        <v>0</v>
      </c>
      <c r="N377" s="1">
        <f>Table1[[#This Row],[Fixed_Charges]]+Table1[[#This Row],[No_of_Extra_slabs]]*Table1[[#This Row],[Additional_Charges]]</f>
        <v>45.4</v>
      </c>
      <c r="O377">
        <f>_xlfn.XLOOKUP(Table1[[#This Row],[OrderID]],'Courier company invoice'!B:B,'Courier company invoice'!H:H)</f>
        <v>224.6</v>
      </c>
      <c r="P377" s="1">
        <f>Table1[[#This Row],[Billing Amount]]-Table1[[#This Row],[Expected charges]]</f>
        <v>179.2</v>
      </c>
      <c r="Q377" s="1" t="str" cm="1">
        <f t="array" ref="Q37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78" spans="1:17" x14ac:dyDescent="0.3">
      <c r="A378" s="3" t="s">
        <v>119</v>
      </c>
      <c r="B378" s="2">
        <f>Table1[[#This Row],[Order ID]]*1</f>
        <v>2001806408</v>
      </c>
      <c r="C378" s="2">
        <v>8904223819024</v>
      </c>
      <c r="D378">
        <v>8</v>
      </c>
      <c r="E378">
        <f>_xlfn.XLOOKUP(Table1[[#This Row],[SKU (Product Code)]],'SKU Master'!A:A,'SKU Master'!B:B)</f>
        <v>112</v>
      </c>
      <c r="F378">
        <f>Table1[[#This Row],[Product weight]]*Table1[[#This Row],[Order Qty]]</f>
        <v>896</v>
      </c>
      <c r="G378">
        <f>Table1[[#This Row],[Weight per order (g)]]/1000</f>
        <v>0.89600000000000002</v>
      </c>
      <c r="H378" s="1">
        <f>CEILING(Table1[[#This Row],[Weight per order (Kg)]],0.5)</f>
        <v>1</v>
      </c>
      <c r="I378" t="str">
        <f>_xlfn.XLOOKUP(Table1[[#This Row],[OrderID]],'Courier company invoice'!B:B,'Courier company invoice'!F:F)</f>
        <v>d</v>
      </c>
      <c r="J378" s="1" t="str">
        <f>_xlfn.XLOOKUP(Table1[[#This Row],[OrderID]],Table2[Order ID],Table2[Type of Shipment],"Not Found")</f>
        <v>Forward charges</v>
      </c>
      <c r="K378">
        <f>INDEX(Sheet1[],1,MATCH("fwd_"&amp;Table1[[#This Row],[Zone]]&amp;"_fixed",Sheet1[#Headers],0))</f>
        <v>45.4</v>
      </c>
      <c r="L378">
        <f>INDEX(Sheet1[],1,MATCH("fwd_"&amp;Table1[[#This Row],[Zone]]&amp;"_additional",Sheet1[#Headers],0))</f>
        <v>44.8</v>
      </c>
      <c r="M378" s="1">
        <f>(Table1[[#This Row],[Weight slab]]-0.5)/0.5</f>
        <v>1</v>
      </c>
      <c r="N378" s="1">
        <f>Table1[[#This Row],[Fixed_Charges]]+Table1[[#This Row],[No_of_Extra_slabs]]*Table1[[#This Row],[Additional_Charges]]</f>
        <v>90.199999999999989</v>
      </c>
      <c r="O378">
        <f>_xlfn.XLOOKUP(Table1[[#This Row],[OrderID]],'Courier company invoice'!B:B,'Courier company invoice'!H:H)</f>
        <v>224.6</v>
      </c>
      <c r="P378" s="1">
        <f>Table1[[#This Row],[Billing Amount]]-Table1[[#This Row],[Expected charges]]</f>
        <v>134.4</v>
      </c>
      <c r="Q378" s="1" t="str" cm="1">
        <f t="array" ref="Q37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79" spans="1:17" x14ac:dyDescent="0.3">
      <c r="A379" s="3" t="s">
        <v>119</v>
      </c>
      <c r="B379" s="2">
        <f>Table1[[#This Row],[Order ID]]*1</f>
        <v>2001806408</v>
      </c>
      <c r="C379" s="2">
        <v>8904223818874</v>
      </c>
      <c r="D379">
        <v>1</v>
      </c>
      <c r="E379">
        <f>_xlfn.XLOOKUP(Table1[[#This Row],[SKU (Product Code)]],'SKU Master'!A:A,'SKU Master'!B:B)</f>
        <v>100</v>
      </c>
      <c r="F379">
        <f>Table1[[#This Row],[Product weight]]*Table1[[#This Row],[Order Qty]]</f>
        <v>100</v>
      </c>
      <c r="G379">
        <f>Table1[[#This Row],[Weight per order (g)]]/1000</f>
        <v>0.1</v>
      </c>
      <c r="H379" s="1">
        <f>CEILING(Table1[[#This Row],[Weight per order (Kg)]],0.5)</f>
        <v>0.5</v>
      </c>
      <c r="I379" t="str">
        <f>_xlfn.XLOOKUP(Table1[[#This Row],[OrderID]],'Courier company invoice'!B:B,'Courier company invoice'!F:F)</f>
        <v>d</v>
      </c>
      <c r="J379" s="1" t="str">
        <f>_xlfn.XLOOKUP(Table1[[#This Row],[OrderID]],Table2[Order ID],Table2[Type of Shipment],"Not Found")</f>
        <v>Forward charges</v>
      </c>
      <c r="K379">
        <f>INDEX(Sheet1[],1,MATCH("fwd_"&amp;Table1[[#This Row],[Zone]]&amp;"_fixed",Sheet1[#Headers],0))</f>
        <v>45.4</v>
      </c>
      <c r="L379">
        <f>INDEX(Sheet1[],1,MATCH("fwd_"&amp;Table1[[#This Row],[Zone]]&amp;"_additional",Sheet1[#Headers],0))</f>
        <v>44.8</v>
      </c>
      <c r="M379" s="1">
        <f>(Table1[[#This Row],[Weight slab]]-0.5)/0.5</f>
        <v>0</v>
      </c>
      <c r="N379" s="1">
        <f>Table1[[#This Row],[Fixed_Charges]]+Table1[[#This Row],[No_of_Extra_slabs]]*Table1[[#This Row],[Additional_Charges]]</f>
        <v>45.4</v>
      </c>
      <c r="O379">
        <f>_xlfn.XLOOKUP(Table1[[#This Row],[OrderID]],'Courier company invoice'!B:B,'Courier company invoice'!H:H)</f>
        <v>224.6</v>
      </c>
      <c r="P379" s="1">
        <f>Table1[[#This Row],[Billing Amount]]-Table1[[#This Row],[Expected charges]]</f>
        <v>179.2</v>
      </c>
      <c r="Q379" s="1" t="str" cm="1">
        <f t="array" ref="Q37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80" spans="1:17" x14ac:dyDescent="0.3">
      <c r="A380" s="3" t="s">
        <v>120</v>
      </c>
      <c r="B380" s="2">
        <f>Table1[[#This Row],[Order ID]]*1</f>
        <v>2001806338</v>
      </c>
      <c r="C380" s="2">
        <v>8904223818706</v>
      </c>
      <c r="D380">
        <v>1</v>
      </c>
      <c r="E380">
        <f>_xlfn.XLOOKUP(Table1[[#This Row],[SKU (Product Code)]],'SKU Master'!A:A,'SKU Master'!B:B)</f>
        <v>127</v>
      </c>
      <c r="F380">
        <f>Table1[[#This Row],[Product weight]]*Table1[[#This Row],[Order Qty]]</f>
        <v>127</v>
      </c>
      <c r="G380">
        <f>Table1[[#This Row],[Weight per order (g)]]/1000</f>
        <v>0.127</v>
      </c>
      <c r="H380" s="1">
        <f>CEILING(Table1[[#This Row],[Weight per order (Kg)]],0.5)</f>
        <v>0.5</v>
      </c>
      <c r="I380" t="str">
        <f>_xlfn.XLOOKUP(Table1[[#This Row],[OrderID]],'Courier company invoice'!B:B,'Courier company invoice'!F:F)</f>
        <v>d</v>
      </c>
      <c r="J380" s="1" t="str">
        <f>_xlfn.XLOOKUP(Table1[[#This Row],[OrderID]],Table2[Order ID],Table2[Type of Shipment],"Not Found")</f>
        <v>Forward charges</v>
      </c>
      <c r="K380">
        <f>INDEX(Sheet1[],1,MATCH("fwd_"&amp;Table1[[#This Row],[Zone]]&amp;"_fixed",Sheet1[#Headers],0))</f>
        <v>45.4</v>
      </c>
      <c r="L380">
        <f>INDEX(Sheet1[],1,MATCH("fwd_"&amp;Table1[[#This Row],[Zone]]&amp;"_additional",Sheet1[#Headers],0))</f>
        <v>44.8</v>
      </c>
      <c r="M380" s="1">
        <f>(Table1[[#This Row],[Weight slab]]-0.5)/0.5</f>
        <v>0</v>
      </c>
      <c r="N380" s="1">
        <f>Table1[[#This Row],[Fixed_Charges]]+Table1[[#This Row],[No_of_Extra_slabs]]*Table1[[#This Row],[Additional_Charges]]</f>
        <v>45.4</v>
      </c>
      <c r="O380">
        <f>_xlfn.XLOOKUP(Table1[[#This Row],[OrderID]],'Courier company invoice'!B:B,'Courier company invoice'!H:H)</f>
        <v>90.2</v>
      </c>
      <c r="P380" s="1">
        <f>Table1[[#This Row],[Billing Amount]]-Table1[[#This Row],[Expected charges]]</f>
        <v>44.800000000000004</v>
      </c>
      <c r="Q380" s="1" t="str" cm="1">
        <f t="array" ref="Q38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81" spans="1:17" x14ac:dyDescent="0.3">
      <c r="A381" s="3" t="s">
        <v>120</v>
      </c>
      <c r="B381" s="2">
        <f>Table1[[#This Row],[Order ID]]*1</f>
        <v>2001806338</v>
      </c>
      <c r="C381" s="2">
        <v>8904223818942</v>
      </c>
      <c r="D381">
        <v>1</v>
      </c>
      <c r="E381">
        <f>_xlfn.XLOOKUP(Table1[[#This Row],[SKU (Product Code)]],'SKU Master'!A:A,'SKU Master'!B:B)</f>
        <v>133</v>
      </c>
      <c r="F381">
        <f>Table1[[#This Row],[Product weight]]*Table1[[#This Row],[Order Qty]]</f>
        <v>133</v>
      </c>
      <c r="G381">
        <f>Table1[[#This Row],[Weight per order (g)]]/1000</f>
        <v>0.13300000000000001</v>
      </c>
      <c r="H381" s="1">
        <f>CEILING(Table1[[#This Row],[Weight per order (Kg)]],0.5)</f>
        <v>0.5</v>
      </c>
      <c r="I381" t="str">
        <f>_xlfn.XLOOKUP(Table1[[#This Row],[OrderID]],'Courier company invoice'!B:B,'Courier company invoice'!F:F)</f>
        <v>d</v>
      </c>
      <c r="J381" s="1" t="str">
        <f>_xlfn.XLOOKUP(Table1[[#This Row],[OrderID]],Table2[Order ID],Table2[Type of Shipment],"Not Found")</f>
        <v>Forward charges</v>
      </c>
      <c r="K381">
        <f>INDEX(Sheet1[],1,MATCH("fwd_"&amp;Table1[[#This Row],[Zone]]&amp;"_fixed",Sheet1[#Headers],0))</f>
        <v>45.4</v>
      </c>
      <c r="L381">
        <f>INDEX(Sheet1[],1,MATCH("fwd_"&amp;Table1[[#This Row],[Zone]]&amp;"_additional",Sheet1[#Headers],0))</f>
        <v>44.8</v>
      </c>
      <c r="M381" s="1">
        <f>(Table1[[#This Row],[Weight slab]]-0.5)/0.5</f>
        <v>0</v>
      </c>
      <c r="N381" s="1">
        <f>Table1[[#This Row],[Fixed_Charges]]+Table1[[#This Row],[No_of_Extra_slabs]]*Table1[[#This Row],[Additional_Charges]]</f>
        <v>45.4</v>
      </c>
      <c r="O381">
        <f>_xlfn.XLOOKUP(Table1[[#This Row],[OrderID]],'Courier company invoice'!B:B,'Courier company invoice'!H:H)</f>
        <v>90.2</v>
      </c>
      <c r="P381" s="1">
        <f>Table1[[#This Row],[Billing Amount]]-Table1[[#This Row],[Expected charges]]</f>
        <v>44.800000000000004</v>
      </c>
      <c r="Q381" s="1" t="str" cm="1">
        <f t="array" ref="Q38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82" spans="1:17" x14ac:dyDescent="0.3">
      <c r="A382" s="3" t="s">
        <v>120</v>
      </c>
      <c r="B382" s="2">
        <f>Table1[[#This Row],[Order ID]]*1</f>
        <v>2001806338</v>
      </c>
      <c r="C382" s="2">
        <v>8904223818850</v>
      </c>
      <c r="D382">
        <v>1</v>
      </c>
      <c r="E382">
        <f>_xlfn.XLOOKUP(Table1[[#This Row],[SKU (Product Code)]],'SKU Master'!A:A,'SKU Master'!B:B)</f>
        <v>240</v>
      </c>
      <c r="F382">
        <f>Table1[[#This Row],[Product weight]]*Table1[[#This Row],[Order Qty]]</f>
        <v>240</v>
      </c>
      <c r="G382">
        <f>Table1[[#This Row],[Weight per order (g)]]/1000</f>
        <v>0.24</v>
      </c>
      <c r="H382" s="1">
        <f>CEILING(Table1[[#This Row],[Weight per order (Kg)]],0.5)</f>
        <v>0.5</v>
      </c>
      <c r="I382" t="str">
        <f>_xlfn.XLOOKUP(Table1[[#This Row],[OrderID]],'Courier company invoice'!B:B,'Courier company invoice'!F:F)</f>
        <v>d</v>
      </c>
      <c r="J382" s="1" t="str">
        <f>_xlfn.XLOOKUP(Table1[[#This Row],[OrderID]],Table2[Order ID],Table2[Type of Shipment],"Not Found")</f>
        <v>Forward charges</v>
      </c>
      <c r="K382">
        <f>INDEX(Sheet1[],1,MATCH("fwd_"&amp;Table1[[#This Row],[Zone]]&amp;"_fixed",Sheet1[#Headers],0))</f>
        <v>45.4</v>
      </c>
      <c r="L382">
        <f>INDEX(Sheet1[],1,MATCH("fwd_"&amp;Table1[[#This Row],[Zone]]&amp;"_additional",Sheet1[#Headers],0))</f>
        <v>44.8</v>
      </c>
      <c r="M382" s="1">
        <f>(Table1[[#This Row],[Weight slab]]-0.5)/0.5</f>
        <v>0</v>
      </c>
      <c r="N382" s="1">
        <f>Table1[[#This Row],[Fixed_Charges]]+Table1[[#This Row],[No_of_Extra_slabs]]*Table1[[#This Row],[Additional_Charges]]</f>
        <v>45.4</v>
      </c>
      <c r="O382">
        <f>_xlfn.XLOOKUP(Table1[[#This Row],[OrderID]],'Courier company invoice'!B:B,'Courier company invoice'!H:H)</f>
        <v>90.2</v>
      </c>
      <c r="P382" s="1">
        <f>Table1[[#This Row],[Billing Amount]]-Table1[[#This Row],[Expected charges]]</f>
        <v>44.800000000000004</v>
      </c>
      <c r="Q382" s="1" t="str" cm="1">
        <f t="array" ref="Q38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83" spans="1:17" x14ac:dyDescent="0.3">
      <c r="A383" s="3" t="s">
        <v>121</v>
      </c>
      <c r="B383" s="2">
        <f>Table1[[#This Row],[Order ID]]*1</f>
        <v>2001806304</v>
      </c>
      <c r="C383" s="2">
        <v>8904223818706</v>
      </c>
      <c r="D383">
        <v>1</v>
      </c>
      <c r="E383">
        <f>_xlfn.XLOOKUP(Table1[[#This Row],[SKU (Product Code)]],'SKU Master'!A:A,'SKU Master'!B:B)</f>
        <v>127</v>
      </c>
      <c r="F383">
        <f>Table1[[#This Row],[Product weight]]*Table1[[#This Row],[Order Qty]]</f>
        <v>127</v>
      </c>
      <c r="G383">
        <f>Table1[[#This Row],[Weight per order (g)]]/1000</f>
        <v>0.127</v>
      </c>
      <c r="H383" s="1">
        <f>CEILING(Table1[[#This Row],[Weight per order (Kg)]],0.5)</f>
        <v>0.5</v>
      </c>
      <c r="I383" t="str">
        <f>_xlfn.XLOOKUP(Table1[[#This Row],[OrderID]],'Courier company invoice'!B:B,'Courier company invoice'!F:F)</f>
        <v>d</v>
      </c>
      <c r="J383" s="1" t="str">
        <f>_xlfn.XLOOKUP(Table1[[#This Row],[OrderID]],Table2[Order ID],Table2[Type of Shipment],"Not Found")</f>
        <v>Forward charges</v>
      </c>
      <c r="K383">
        <f>INDEX(Sheet1[],1,MATCH("fwd_"&amp;Table1[[#This Row],[Zone]]&amp;"_fixed",Sheet1[#Headers],0))</f>
        <v>45.4</v>
      </c>
      <c r="L383">
        <f>INDEX(Sheet1[],1,MATCH("fwd_"&amp;Table1[[#This Row],[Zone]]&amp;"_additional",Sheet1[#Headers],0))</f>
        <v>44.8</v>
      </c>
      <c r="M383" s="1">
        <f>(Table1[[#This Row],[Weight slab]]-0.5)/0.5</f>
        <v>0</v>
      </c>
      <c r="N383" s="1">
        <f>Table1[[#This Row],[Fixed_Charges]]+Table1[[#This Row],[No_of_Extra_slabs]]*Table1[[#This Row],[Additional_Charges]]</f>
        <v>45.4</v>
      </c>
      <c r="O383">
        <f>_xlfn.XLOOKUP(Table1[[#This Row],[OrderID]],'Courier company invoice'!B:B,'Courier company invoice'!H:H)</f>
        <v>90.2</v>
      </c>
      <c r="P383" s="1">
        <f>Table1[[#This Row],[Billing Amount]]-Table1[[#This Row],[Expected charges]]</f>
        <v>44.800000000000004</v>
      </c>
      <c r="Q383" s="1" t="str" cm="1">
        <f t="array" ref="Q38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84" spans="1:17" x14ac:dyDescent="0.3">
      <c r="A384" s="3" t="s">
        <v>121</v>
      </c>
      <c r="B384" s="2">
        <f>Table1[[#This Row],[Order ID]]*1</f>
        <v>2001806304</v>
      </c>
      <c r="C384" s="2">
        <v>8904223818942</v>
      </c>
      <c r="D384">
        <v>1</v>
      </c>
      <c r="E384">
        <f>_xlfn.XLOOKUP(Table1[[#This Row],[SKU (Product Code)]],'SKU Master'!A:A,'SKU Master'!B:B)</f>
        <v>133</v>
      </c>
      <c r="F384">
        <f>Table1[[#This Row],[Product weight]]*Table1[[#This Row],[Order Qty]]</f>
        <v>133</v>
      </c>
      <c r="G384">
        <f>Table1[[#This Row],[Weight per order (g)]]/1000</f>
        <v>0.13300000000000001</v>
      </c>
      <c r="H384" s="1">
        <f>CEILING(Table1[[#This Row],[Weight per order (Kg)]],0.5)</f>
        <v>0.5</v>
      </c>
      <c r="I384" t="str">
        <f>_xlfn.XLOOKUP(Table1[[#This Row],[OrderID]],'Courier company invoice'!B:B,'Courier company invoice'!F:F)</f>
        <v>d</v>
      </c>
      <c r="J384" s="1" t="str">
        <f>_xlfn.XLOOKUP(Table1[[#This Row],[OrderID]],Table2[Order ID],Table2[Type of Shipment],"Not Found")</f>
        <v>Forward charges</v>
      </c>
      <c r="K384">
        <f>INDEX(Sheet1[],1,MATCH("fwd_"&amp;Table1[[#This Row],[Zone]]&amp;"_fixed",Sheet1[#Headers],0))</f>
        <v>45.4</v>
      </c>
      <c r="L384">
        <f>INDEX(Sheet1[],1,MATCH("fwd_"&amp;Table1[[#This Row],[Zone]]&amp;"_additional",Sheet1[#Headers],0))</f>
        <v>44.8</v>
      </c>
      <c r="M384" s="1">
        <f>(Table1[[#This Row],[Weight slab]]-0.5)/0.5</f>
        <v>0</v>
      </c>
      <c r="N384" s="1">
        <f>Table1[[#This Row],[Fixed_Charges]]+Table1[[#This Row],[No_of_Extra_slabs]]*Table1[[#This Row],[Additional_Charges]]</f>
        <v>45.4</v>
      </c>
      <c r="O384">
        <f>_xlfn.XLOOKUP(Table1[[#This Row],[OrderID]],'Courier company invoice'!B:B,'Courier company invoice'!H:H)</f>
        <v>90.2</v>
      </c>
      <c r="P384" s="1">
        <f>Table1[[#This Row],[Billing Amount]]-Table1[[#This Row],[Expected charges]]</f>
        <v>44.800000000000004</v>
      </c>
      <c r="Q384" s="1" t="str" cm="1">
        <f t="array" ref="Q38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85" spans="1:17" x14ac:dyDescent="0.3">
      <c r="A385" s="3" t="s">
        <v>121</v>
      </c>
      <c r="B385" s="2">
        <f>Table1[[#This Row],[Order ID]]*1</f>
        <v>2001806304</v>
      </c>
      <c r="C385" s="2">
        <v>8904223818850</v>
      </c>
      <c r="D385">
        <v>1</v>
      </c>
      <c r="E385">
        <f>_xlfn.XLOOKUP(Table1[[#This Row],[SKU (Product Code)]],'SKU Master'!A:A,'SKU Master'!B:B)</f>
        <v>240</v>
      </c>
      <c r="F385">
        <f>Table1[[#This Row],[Product weight]]*Table1[[#This Row],[Order Qty]]</f>
        <v>240</v>
      </c>
      <c r="G385">
        <f>Table1[[#This Row],[Weight per order (g)]]/1000</f>
        <v>0.24</v>
      </c>
      <c r="H385" s="1">
        <f>CEILING(Table1[[#This Row],[Weight per order (Kg)]],0.5)</f>
        <v>0.5</v>
      </c>
      <c r="I385" t="str">
        <f>_xlfn.XLOOKUP(Table1[[#This Row],[OrderID]],'Courier company invoice'!B:B,'Courier company invoice'!F:F)</f>
        <v>d</v>
      </c>
      <c r="J385" s="1" t="str">
        <f>_xlfn.XLOOKUP(Table1[[#This Row],[OrderID]],Table2[Order ID],Table2[Type of Shipment],"Not Found")</f>
        <v>Forward charges</v>
      </c>
      <c r="K385">
        <f>INDEX(Sheet1[],1,MATCH("fwd_"&amp;Table1[[#This Row],[Zone]]&amp;"_fixed",Sheet1[#Headers],0))</f>
        <v>45.4</v>
      </c>
      <c r="L385">
        <f>INDEX(Sheet1[],1,MATCH("fwd_"&amp;Table1[[#This Row],[Zone]]&amp;"_additional",Sheet1[#Headers],0))</f>
        <v>44.8</v>
      </c>
      <c r="M385" s="1">
        <f>(Table1[[#This Row],[Weight slab]]-0.5)/0.5</f>
        <v>0</v>
      </c>
      <c r="N385" s="1">
        <f>Table1[[#This Row],[Fixed_Charges]]+Table1[[#This Row],[No_of_Extra_slabs]]*Table1[[#This Row],[Additional_Charges]]</f>
        <v>45.4</v>
      </c>
      <c r="O385">
        <f>_xlfn.XLOOKUP(Table1[[#This Row],[OrderID]],'Courier company invoice'!B:B,'Courier company invoice'!H:H)</f>
        <v>90.2</v>
      </c>
      <c r="P385" s="1">
        <f>Table1[[#This Row],[Billing Amount]]-Table1[[#This Row],[Expected charges]]</f>
        <v>44.800000000000004</v>
      </c>
      <c r="Q385" s="1" t="str" cm="1">
        <f t="array" ref="Q38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86" spans="1:17" x14ac:dyDescent="0.3">
      <c r="A386" s="3" t="s">
        <v>122</v>
      </c>
      <c r="B386" s="2">
        <f>Table1[[#This Row],[Order ID]]*1</f>
        <v>2001806273</v>
      </c>
      <c r="C386" s="2">
        <v>8904223819017</v>
      </c>
      <c r="D386">
        <v>1</v>
      </c>
      <c r="E386">
        <f>_xlfn.XLOOKUP(Table1[[#This Row],[SKU (Product Code)]],'SKU Master'!A:A,'SKU Master'!B:B)</f>
        <v>115</v>
      </c>
      <c r="F386">
        <f>Table1[[#This Row],[Product weight]]*Table1[[#This Row],[Order Qty]]</f>
        <v>115</v>
      </c>
      <c r="G386">
        <f>Table1[[#This Row],[Weight per order (g)]]/1000</f>
        <v>0.115</v>
      </c>
      <c r="H386" s="1">
        <f>CEILING(Table1[[#This Row],[Weight per order (Kg)]],0.5)</f>
        <v>0.5</v>
      </c>
      <c r="I386" t="str">
        <f>_xlfn.XLOOKUP(Table1[[#This Row],[OrderID]],'Courier company invoice'!B:B,'Courier company invoice'!F:F)</f>
        <v>d</v>
      </c>
      <c r="J386" s="1" t="str">
        <f>_xlfn.XLOOKUP(Table1[[#This Row],[OrderID]],Table2[Order ID],Table2[Type of Shipment],"Not Found")</f>
        <v>Forward charges</v>
      </c>
      <c r="K386">
        <f>INDEX(Sheet1[],1,MATCH("fwd_"&amp;Table1[[#This Row],[Zone]]&amp;"_fixed",Sheet1[#Headers],0))</f>
        <v>45.4</v>
      </c>
      <c r="L386">
        <f>INDEX(Sheet1[],1,MATCH("fwd_"&amp;Table1[[#This Row],[Zone]]&amp;"_additional",Sheet1[#Headers],0))</f>
        <v>44.8</v>
      </c>
      <c r="M386" s="1">
        <f>(Table1[[#This Row],[Weight slab]]-0.5)/0.5</f>
        <v>0</v>
      </c>
      <c r="N386" s="1">
        <f>Table1[[#This Row],[Fixed_Charges]]+Table1[[#This Row],[No_of_Extra_slabs]]*Table1[[#This Row],[Additional_Charges]]</f>
        <v>45.4</v>
      </c>
      <c r="O386">
        <f>_xlfn.XLOOKUP(Table1[[#This Row],[OrderID]],'Courier company invoice'!B:B,'Courier company invoice'!H:H)</f>
        <v>90.2</v>
      </c>
      <c r="P386" s="1">
        <f>Table1[[#This Row],[Billing Amount]]-Table1[[#This Row],[Expected charges]]</f>
        <v>44.800000000000004</v>
      </c>
      <c r="Q386" s="1" t="str" cm="1">
        <f t="array" ref="Q38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87" spans="1:17" x14ac:dyDescent="0.3">
      <c r="A387" s="3" t="s">
        <v>122</v>
      </c>
      <c r="B387" s="2">
        <f>Table1[[#This Row],[Order ID]]*1</f>
        <v>2001806273</v>
      </c>
      <c r="C387" s="2">
        <v>8904223818706</v>
      </c>
      <c r="D387">
        <v>1</v>
      </c>
      <c r="E387">
        <f>_xlfn.XLOOKUP(Table1[[#This Row],[SKU (Product Code)]],'SKU Master'!A:A,'SKU Master'!B:B)</f>
        <v>127</v>
      </c>
      <c r="F387">
        <f>Table1[[#This Row],[Product weight]]*Table1[[#This Row],[Order Qty]]</f>
        <v>127</v>
      </c>
      <c r="G387">
        <f>Table1[[#This Row],[Weight per order (g)]]/1000</f>
        <v>0.127</v>
      </c>
      <c r="H387" s="1">
        <f>CEILING(Table1[[#This Row],[Weight per order (Kg)]],0.5)</f>
        <v>0.5</v>
      </c>
      <c r="I387" t="str">
        <f>_xlfn.XLOOKUP(Table1[[#This Row],[OrderID]],'Courier company invoice'!B:B,'Courier company invoice'!F:F)</f>
        <v>d</v>
      </c>
      <c r="J387" s="1" t="str">
        <f>_xlfn.XLOOKUP(Table1[[#This Row],[OrderID]],Table2[Order ID],Table2[Type of Shipment],"Not Found")</f>
        <v>Forward charges</v>
      </c>
      <c r="K387">
        <f>INDEX(Sheet1[],1,MATCH("fwd_"&amp;Table1[[#This Row],[Zone]]&amp;"_fixed",Sheet1[#Headers],0))</f>
        <v>45.4</v>
      </c>
      <c r="L387">
        <f>INDEX(Sheet1[],1,MATCH("fwd_"&amp;Table1[[#This Row],[Zone]]&amp;"_additional",Sheet1[#Headers],0))</f>
        <v>44.8</v>
      </c>
      <c r="M387" s="1">
        <f>(Table1[[#This Row],[Weight slab]]-0.5)/0.5</f>
        <v>0</v>
      </c>
      <c r="N387" s="1">
        <f>Table1[[#This Row],[Fixed_Charges]]+Table1[[#This Row],[No_of_Extra_slabs]]*Table1[[#This Row],[Additional_Charges]]</f>
        <v>45.4</v>
      </c>
      <c r="O387">
        <f>_xlfn.XLOOKUP(Table1[[#This Row],[OrderID]],'Courier company invoice'!B:B,'Courier company invoice'!H:H)</f>
        <v>90.2</v>
      </c>
      <c r="P387" s="1">
        <f>Table1[[#This Row],[Billing Amount]]-Table1[[#This Row],[Expected charges]]</f>
        <v>44.800000000000004</v>
      </c>
      <c r="Q387" s="1" t="str" cm="1">
        <f t="array" ref="Q38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88" spans="1:17" x14ac:dyDescent="0.3">
      <c r="A388" s="3" t="s">
        <v>122</v>
      </c>
      <c r="B388" s="2">
        <f>Table1[[#This Row],[Order ID]]*1</f>
        <v>2001806273</v>
      </c>
      <c r="C388" s="2">
        <v>8904223818942</v>
      </c>
      <c r="D388">
        <v>1</v>
      </c>
      <c r="E388">
        <f>_xlfn.XLOOKUP(Table1[[#This Row],[SKU (Product Code)]],'SKU Master'!A:A,'SKU Master'!B:B)</f>
        <v>133</v>
      </c>
      <c r="F388">
        <f>Table1[[#This Row],[Product weight]]*Table1[[#This Row],[Order Qty]]</f>
        <v>133</v>
      </c>
      <c r="G388">
        <f>Table1[[#This Row],[Weight per order (g)]]/1000</f>
        <v>0.13300000000000001</v>
      </c>
      <c r="H388" s="1">
        <f>CEILING(Table1[[#This Row],[Weight per order (Kg)]],0.5)</f>
        <v>0.5</v>
      </c>
      <c r="I388" t="str">
        <f>_xlfn.XLOOKUP(Table1[[#This Row],[OrderID]],'Courier company invoice'!B:B,'Courier company invoice'!F:F)</f>
        <v>d</v>
      </c>
      <c r="J388" s="1" t="str">
        <f>_xlfn.XLOOKUP(Table1[[#This Row],[OrderID]],Table2[Order ID],Table2[Type of Shipment],"Not Found")</f>
        <v>Forward charges</v>
      </c>
      <c r="K388">
        <f>INDEX(Sheet1[],1,MATCH("fwd_"&amp;Table1[[#This Row],[Zone]]&amp;"_fixed",Sheet1[#Headers],0))</f>
        <v>45.4</v>
      </c>
      <c r="L388">
        <f>INDEX(Sheet1[],1,MATCH("fwd_"&amp;Table1[[#This Row],[Zone]]&amp;"_additional",Sheet1[#Headers],0))</f>
        <v>44.8</v>
      </c>
      <c r="M388" s="1">
        <f>(Table1[[#This Row],[Weight slab]]-0.5)/0.5</f>
        <v>0</v>
      </c>
      <c r="N388" s="1">
        <f>Table1[[#This Row],[Fixed_Charges]]+Table1[[#This Row],[No_of_Extra_slabs]]*Table1[[#This Row],[Additional_Charges]]</f>
        <v>45.4</v>
      </c>
      <c r="O388">
        <f>_xlfn.XLOOKUP(Table1[[#This Row],[OrderID]],'Courier company invoice'!B:B,'Courier company invoice'!H:H)</f>
        <v>90.2</v>
      </c>
      <c r="P388" s="1">
        <f>Table1[[#This Row],[Billing Amount]]-Table1[[#This Row],[Expected charges]]</f>
        <v>44.800000000000004</v>
      </c>
      <c r="Q388" s="1" t="str" cm="1">
        <f t="array" ref="Q38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89" spans="1:17" x14ac:dyDescent="0.3">
      <c r="A389" s="3" t="s">
        <v>122</v>
      </c>
      <c r="B389" s="2">
        <f>Table1[[#This Row],[Order ID]]*1</f>
        <v>2001806273</v>
      </c>
      <c r="C389" s="2">
        <v>8904223818850</v>
      </c>
      <c r="D389">
        <v>1</v>
      </c>
      <c r="E389">
        <f>_xlfn.XLOOKUP(Table1[[#This Row],[SKU (Product Code)]],'SKU Master'!A:A,'SKU Master'!B:B)</f>
        <v>240</v>
      </c>
      <c r="F389">
        <f>Table1[[#This Row],[Product weight]]*Table1[[#This Row],[Order Qty]]</f>
        <v>240</v>
      </c>
      <c r="G389">
        <f>Table1[[#This Row],[Weight per order (g)]]/1000</f>
        <v>0.24</v>
      </c>
      <c r="H389" s="1">
        <f>CEILING(Table1[[#This Row],[Weight per order (Kg)]],0.5)</f>
        <v>0.5</v>
      </c>
      <c r="I389" t="str">
        <f>_xlfn.XLOOKUP(Table1[[#This Row],[OrderID]],'Courier company invoice'!B:B,'Courier company invoice'!F:F)</f>
        <v>d</v>
      </c>
      <c r="J389" s="1" t="str">
        <f>_xlfn.XLOOKUP(Table1[[#This Row],[OrderID]],Table2[Order ID],Table2[Type of Shipment],"Not Found")</f>
        <v>Forward charges</v>
      </c>
      <c r="K389">
        <f>INDEX(Sheet1[],1,MATCH("fwd_"&amp;Table1[[#This Row],[Zone]]&amp;"_fixed",Sheet1[#Headers],0))</f>
        <v>45.4</v>
      </c>
      <c r="L389">
        <f>INDEX(Sheet1[],1,MATCH("fwd_"&amp;Table1[[#This Row],[Zone]]&amp;"_additional",Sheet1[#Headers],0))</f>
        <v>44.8</v>
      </c>
      <c r="M389" s="1">
        <f>(Table1[[#This Row],[Weight slab]]-0.5)/0.5</f>
        <v>0</v>
      </c>
      <c r="N389" s="1">
        <f>Table1[[#This Row],[Fixed_Charges]]+Table1[[#This Row],[No_of_Extra_slabs]]*Table1[[#This Row],[Additional_Charges]]</f>
        <v>45.4</v>
      </c>
      <c r="O389">
        <f>_xlfn.XLOOKUP(Table1[[#This Row],[OrderID]],'Courier company invoice'!B:B,'Courier company invoice'!H:H)</f>
        <v>90.2</v>
      </c>
      <c r="P389" s="1">
        <f>Table1[[#This Row],[Billing Amount]]-Table1[[#This Row],[Expected charges]]</f>
        <v>44.800000000000004</v>
      </c>
      <c r="Q389" s="1" t="str" cm="1">
        <f t="array" ref="Q38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90" spans="1:17" x14ac:dyDescent="0.3">
      <c r="A390" s="3" t="s">
        <v>123</v>
      </c>
      <c r="B390" s="2">
        <f>Table1[[#This Row],[Order ID]]*1</f>
        <v>2001806251</v>
      </c>
      <c r="C390" s="2">
        <v>8904223819161</v>
      </c>
      <c r="D390">
        <v>1</v>
      </c>
      <c r="E390">
        <f>_xlfn.XLOOKUP(Table1[[#This Row],[SKU (Product Code)]],'SKU Master'!A:A,'SKU Master'!B:B)</f>
        <v>115</v>
      </c>
      <c r="F390">
        <f>Table1[[#This Row],[Product weight]]*Table1[[#This Row],[Order Qty]]</f>
        <v>115</v>
      </c>
      <c r="G390">
        <f>Table1[[#This Row],[Weight per order (g)]]/1000</f>
        <v>0.115</v>
      </c>
      <c r="H390" s="1">
        <f>CEILING(Table1[[#This Row],[Weight per order (Kg)]],0.5)</f>
        <v>0.5</v>
      </c>
      <c r="I390" t="str">
        <f>_xlfn.XLOOKUP(Table1[[#This Row],[OrderID]],'Courier company invoice'!B:B,'Courier company invoice'!F:F)</f>
        <v>d</v>
      </c>
      <c r="J390" s="1" t="str">
        <f>_xlfn.XLOOKUP(Table1[[#This Row],[OrderID]],Table2[Order ID],Table2[Type of Shipment],"Not Found")</f>
        <v>Forward charges</v>
      </c>
      <c r="K390">
        <f>INDEX(Sheet1[],1,MATCH("fwd_"&amp;Table1[[#This Row],[Zone]]&amp;"_fixed",Sheet1[#Headers],0))</f>
        <v>45.4</v>
      </c>
      <c r="L390">
        <f>INDEX(Sheet1[],1,MATCH("fwd_"&amp;Table1[[#This Row],[Zone]]&amp;"_additional",Sheet1[#Headers],0))</f>
        <v>44.8</v>
      </c>
      <c r="M390" s="1">
        <f>(Table1[[#This Row],[Weight slab]]-0.5)/0.5</f>
        <v>0</v>
      </c>
      <c r="N390" s="1">
        <f>Table1[[#This Row],[Fixed_Charges]]+Table1[[#This Row],[No_of_Extra_slabs]]*Table1[[#This Row],[Additional_Charges]]</f>
        <v>45.4</v>
      </c>
      <c r="O390">
        <f>_xlfn.XLOOKUP(Table1[[#This Row],[OrderID]],'Courier company invoice'!B:B,'Courier company invoice'!H:H)</f>
        <v>135</v>
      </c>
      <c r="P390" s="1">
        <f>Table1[[#This Row],[Billing Amount]]-Table1[[#This Row],[Expected charges]]</f>
        <v>89.6</v>
      </c>
      <c r="Q390" s="1" t="str" cm="1">
        <f t="array" ref="Q39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91" spans="1:17" x14ac:dyDescent="0.3">
      <c r="A391" s="3" t="s">
        <v>123</v>
      </c>
      <c r="B391" s="2">
        <f>Table1[[#This Row],[Order ID]]*1</f>
        <v>2001806251</v>
      </c>
      <c r="C391" s="2">
        <v>8904223819260</v>
      </c>
      <c r="D391">
        <v>1</v>
      </c>
      <c r="E391">
        <f>_xlfn.XLOOKUP(Table1[[#This Row],[SKU (Product Code)]],'SKU Master'!A:A,'SKU Master'!B:B)</f>
        <v>130</v>
      </c>
      <c r="F391">
        <f>Table1[[#This Row],[Product weight]]*Table1[[#This Row],[Order Qty]]</f>
        <v>130</v>
      </c>
      <c r="G391">
        <f>Table1[[#This Row],[Weight per order (g)]]/1000</f>
        <v>0.13</v>
      </c>
      <c r="H391" s="1">
        <f>CEILING(Table1[[#This Row],[Weight per order (Kg)]],0.5)</f>
        <v>0.5</v>
      </c>
      <c r="I391" t="str">
        <f>_xlfn.XLOOKUP(Table1[[#This Row],[OrderID]],'Courier company invoice'!B:B,'Courier company invoice'!F:F)</f>
        <v>d</v>
      </c>
      <c r="J391" s="1" t="str">
        <f>_xlfn.XLOOKUP(Table1[[#This Row],[OrderID]],Table2[Order ID],Table2[Type of Shipment],"Not Found")</f>
        <v>Forward charges</v>
      </c>
      <c r="K391">
        <f>INDEX(Sheet1[],1,MATCH("fwd_"&amp;Table1[[#This Row],[Zone]]&amp;"_fixed",Sheet1[#Headers],0))</f>
        <v>45.4</v>
      </c>
      <c r="L391">
        <f>INDEX(Sheet1[],1,MATCH("fwd_"&amp;Table1[[#This Row],[Zone]]&amp;"_additional",Sheet1[#Headers],0))</f>
        <v>44.8</v>
      </c>
      <c r="M391" s="1">
        <f>(Table1[[#This Row],[Weight slab]]-0.5)/0.5</f>
        <v>0</v>
      </c>
      <c r="N391" s="1">
        <f>Table1[[#This Row],[Fixed_Charges]]+Table1[[#This Row],[No_of_Extra_slabs]]*Table1[[#This Row],[Additional_Charges]]</f>
        <v>45.4</v>
      </c>
      <c r="O391">
        <f>_xlfn.XLOOKUP(Table1[[#This Row],[OrderID]],'Courier company invoice'!B:B,'Courier company invoice'!H:H)</f>
        <v>135</v>
      </c>
      <c r="P391" s="1">
        <f>Table1[[#This Row],[Billing Amount]]-Table1[[#This Row],[Expected charges]]</f>
        <v>89.6</v>
      </c>
      <c r="Q391" s="1" t="str" cm="1">
        <f t="array" ref="Q39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92" spans="1:17" x14ac:dyDescent="0.3">
      <c r="A392" s="3" t="s">
        <v>124</v>
      </c>
      <c r="B392" s="2">
        <f>Table1[[#This Row],[Order ID]]*1</f>
        <v>2001806233</v>
      </c>
      <c r="C392" s="2">
        <v>8904223819161</v>
      </c>
      <c r="D392">
        <v>1</v>
      </c>
      <c r="E392">
        <f>_xlfn.XLOOKUP(Table1[[#This Row],[SKU (Product Code)]],'SKU Master'!A:A,'SKU Master'!B:B)</f>
        <v>115</v>
      </c>
      <c r="F392">
        <f>Table1[[#This Row],[Product weight]]*Table1[[#This Row],[Order Qty]]</f>
        <v>115</v>
      </c>
      <c r="G392">
        <f>Table1[[#This Row],[Weight per order (g)]]/1000</f>
        <v>0.115</v>
      </c>
      <c r="H392" s="1">
        <f>CEILING(Table1[[#This Row],[Weight per order (Kg)]],0.5)</f>
        <v>0.5</v>
      </c>
      <c r="I392" t="str">
        <f>_xlfn.XLOOKUP(Table1[[#This Row],[OrderID]],'Courier company invoice'!B:B,'Courier company invoice'!F:F)</f>
        <v>b</v>
      </c>
      <c r="J392" s="1" t="str">
        <f>_xlfn.XLOOKUP(Table1[[#This Row],[OrderID]],Table2[Order ID],Table2[Type of Shipment],"Not Found")</f>
        <v>Forward charges</v>
      </c>
      <c r="K392">
        <f>INDEX(Sheet1[],1,MATCH("fwd_"&amp;Table1[[#This Row],[Zone]]&amp;"_fixed",Sheet1[#Headers],0))</f>
        <v>33</v>
      </c>
      <c r="L392">
        <f>INDEX(Sheet1[],1,MATCH("fwd_"&amp;Table1[[#This Row],[Zone]]&amp;"_additional",Sheet1[#Headers],0))</f>
        <v>28.3</v>
      </c>
      <c r="M392" s="1">
        <f>(Table1[[#This Row],[Weight slab]]-0.5)/0.5</f>
        <v>0</v>
      </c>
      <c r="N392" s="1">
        <f>Table1[[#This Row],[Fixed_Charges]]+Table1[[#This Row],[No_of_Extra_slabs]]*Table1[[#This Row],[Additional_Charges]]</f>
        <v>33</v>
      </c>
      <c r="O392">
        <f>_xlfn.XLOOKUP(Table1[[#This Row],[OrderID]],'Courier company invoice'!B:B,'Courier company invoice'!H:H)</f>
        <v>61.3</v>
      </c>
      <c r="P392" s="1">
        <f>Table1[[#This Row],[Billing Amount]]-Table1[[#This Row],[Expected charges]]</f>
        <v>28.299999999999997</v>
      </c>
      <c r="Q392" s="1" t="str" cm="1">
        <f t="array" ref="Q392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93" spans="1:17" x14ac:dyDescent="0.3">
      <c r="A393" s="3" t="s">
        <v>124</v>
      </c>
      <c r="B393" s="2">
        <f>Table1[[#This Row],[Order ID]]*1</f>
        <v>2001806233</v>
      </c>
      <c r="C393" s="2">
        <v>8904223819260</v>
      </c>
      <c r="D393">
        <v>1</v>
      </c>
      <c r="E393">
        <f>_xlfn.XLOOKUP(Table1[[#This Row],[SKU (Product Code)]],'SKU Master'!A:A,'SKU Master'!B:B)</f>
        <v>130</v>
      </c>
      <c r="F393">
        <f>Table1[[#This Row],[Product weight]]*Table1[[#This Row],[Order Qty]]</f>
        <v>130</v>
      </c>
      <c r="G393">
        <f>Table1[[#This Row],[Weight per order (g)]]/1000</f>
        <v>0.13</v>
      </c>
      <c r="H393" s="1">
        <f>CEILING(Table1[[#This Row],[Weight per order (Kg)]],0.5)</f>
        <v>0.5</v>
      </c>
      <c r="I393" t="str">
        <f>_xlfn.XLOOKUP(Table1[[#This Row],[OrderID]],'Courier company invoice'!B:B,'Courier company invoice'!F:F)</f>
        <v>b</v>
      </c>
      <c r="J393" s="1" t="str">
        <f>_xlfn.XLOOKUP(Table1[[#This Row],[OrderID]],Table2[Order ID],Table2[Type of Shipment],"Not Found")</f>
        <v>Forward charges</v>
      </c>
      <c r="K393">
        <f>INDEX(Sheet1[],1,MATCH("fwd_"&amp;Table1[[#This Row],[Zone]]&amp;"_fixed",Sheet1[#Headers],0))</f>
        <v>33</v>
      </c>
      <c r="L393">
        <f>INDEX(Sheet1[],1,MATCH("fwd_"&amp;Table1[[#This Row],[Zone]]&amp;"_additional",Sheet1[#Headers],0))</f>
        <v>28.3</v>
      </c>
      <c r="M393" s="1">
        <f>(Table1[[#This Row],[Weight slab]]-0.5)/0.5</f>
        <v>0</v>
      </c>
      <c r="N393" s="1">
        <f>Table1[[#This Row],[Fixed_Charges]]+Table1[[#This Row],[No_of_Extra_slabs]]*Table1[[#This Row],[Additional_Charges]]</f>
        <v>33</v>
      </c>
      <c r="O393">
        <f>_xlfn.XLOOKUP(Table1[[#This Row],[OrderID]],'Courier company invoice'!B:B,'Courier company invoice'!H:H)</f>
        <v>61.3</v>
      </c>
      <c r="P393" s="1">
        <f>Table1[[#This Row],[Billing Amount]]-Table1[[#This Row],[Expected charges]]</f>
        <v>28.299999999999997</v>
      </c>
      <c r="Q393" s="1" t="str" cm="1">
        <f t="array" ref="Q393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94" spans="1:17" x14ac:dyDescent="0.3">
      <c r="A394" s="3" t="s">
        <v>125</v>
      </c>
      <c r="B394" s="2">
        <f>Table1[[#This Row],[Order ID]]*1</f>
        <v>2001806232</v>
      </c>
      <c r="C394" s="2">
        <v>8904223818645</v>
      </c>
      <c r="D394">
        <v>6</v>
      </c>
      <c r="E394">
        <f>_xlfn.XLOOKUP(Table1[[#This Row],[SKU (Product Code)]],'SKU Master'!A:A,'SKU Master'!B:B)</f>
        <v>137</v>
      </c>
      <c r="F394">
        <f>Table1[[#This Row],[Product weight]]*Table1[[#This Row],[Order Qty]]</f>
        <v>822</v>
      </c>
      <c r="G394">
        <f>Table1[[#This Row],[Weight per order (g)]]/1000</f>
        <v>0.82199999999999995</v>
      </c>
      <c r="H394" s="1">
        <f>CEILING(Table1[[#This Row],[Weight per order (Kg)]],0.5)</f>
        <v>1</v>
      </c>
      <c r="I394" t="str">
        <f>_xlfn.XLOOKUP(Table1[[#This Row],[OrderID]],'Courier company invoice'!B:B,'Courier company invoice'!F:F)</f>
        <v>d</v>
      </c>
      <c r="J394" s="1" t="str">
        <f>_xlfn.XLOOKUP(Table1[[#This Row],[OrderID]],Table2[Order ID],Table2[Type of Shipment],"Not Found")</f>
        <v>Forward charges</v>
      </c>
      <c r="K394">
        <f>INDEX(Sheet1[],1,MATCH("fwd_"&amp;Table1[[#This Row],[Zone]]&amp;"_fixed",Sheet1[#Headers],0))</f>
        <v>45.4</v>
      </c>
      <c r="L394">
        <f>INDEX(Sheet1[],1,MATCH("fwd_"&amp;Table1[[#This Row],[Zone]]&amp;"_additional",Sheet1[#Headers],0))</f>
        <v>44.8</v>
      </c>
      <c r="M394" s="1">
        <f>(Table1[[#This Row],[Weight slab]]-0.5)/0.5</f>
        <v>1</v>
      </c>
      <c r="N394" s="1">
        <f>Table1[[#This Row],[Fixed_Charges]]+Table1[[#This Row],[No_of_Extra_slabs]]*Table1[[#This Row],[Additional_Charges]]</f>
        <v>90.199999999999989</v>
      </c>
      <c r="O394">
        <f>_xlfn.XLOOKUP(Table1[[#This Row],[OrderID]],'Courier company invoice'!B:B,'Courier company invoice'!H:H)</f>
        <v>135</v>
      </c>
      <c r="P394" s="1">
        <f>Table1[[#This Row],[Billing Amount]]-Table1[[#This Row],[Expected charges]]</f>
        <v>44.800000000000011</v>
      </c>
      <c r="Q394" s="1" t="str" cm="1">
        <f t="array" ref="Q394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95" spans="1:17" x14ac:dyDescent="0.3">
      <c r="A395" s="3" t="s">
        <v>125</v>
      </c>
      <c r="B395" s="2">
        <f>Table1[[#This Row],[Order ID]]*1</f>
        <v>2001806232</v>
      </c>
      <c r="C395" s="2">
        <v>8904223819147</v>
      </c>
      <c r="D395">
        <v>2</v>
      </c>
      <c r="E395">
        <f>_xlfn.XLOOKUP(Table1[[#This Row],[SKU (Product Code)]],'SKU Master'!A:A,'SKU Master'!B:B)</f>
        <v>240</v>
      </c>
      <c r="F395">
        <f>Table1[[#This Row],[Product weight]]*Table1[[#This Row],[Order Qty]]</f>
        <v>480</v>
      </c>
      <c r="G395">
        <f>Table1[[#This Row],[Weight per order (g)]]/1000</f>
        <v>0.48</v>
      </c>
      <c r="H395" s="1">
        <f>CEILING(Table1[[#This Row],[Weight per order (Kg)]],0.5)</f>
        <v>0.5</v>
      </c>
      <c r="I395" t="str">
        <f>_xlfn.XLOOKUP(Table1[[#This Row],[OrderID]],'Courier company invoice'!B:B,'Courier company invoice'!F:F)</f>
        <v>d</v>
      </c>
      <c r="J395" s="1" t="str">
        <f>_xlfn.XLOOKUP(Table1[[#This Row],[OrderID]],Table2[Order ID],Table2[Type of Shipment],"Not Found")</f>
        <v>Forward charges</v>
      </c>
      <c r="K395">
        <f>INDEX(Sheet1[],1,MATCH("fwd_"&amp;Table1[[#This Row],[Zone]]&amp;"_fixed",Sheet1[#Headers],0))</f>
        <v>45.4</v>
      </c>
      <c r="L395">
        <f>INDEX(Sheet1[],1,MATCH("fwd_"&amp;Table1[[#This Row],[Zone]]&amp;"_additional",Sheet1[#Headers],0))</f>
        <v>44.8</v>
      </c>
      <c r="M395" s="1">
        <f>(Table1[[#This Row],[Weight slab]]-0.5)/0.5</f>
        <v>0</v>
      </c>
      <c r="N395" s="1">
        <f>Table1[[#This Row],[Fixed_Charges]]+Table1[[#This Row],[No_of_Extra_slabs]]*Table1[[#This Row],[Additional_Charges]]</f>
        <v>45.4</v>
      </c>
      <c r="O395">
        <f>_xlfn.XLOOKUP(Table1[[#This Row],[OrderID]],'Courier company invoice'!B:B,'Courier company invoice'!H:H)</f>
        <v>135</v>
      </c>
      <c r="P395" s="1">
        <f>Table1[[#This Row],[Billing Amount]]-Table1[[#This Row],[Expected charges]]</f>
        <v>89.6</v>
      </c>
      <c r="Q395" s="1" t="str" cm="1">
        <f t="array" ref="Q395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96" spans="1:17" x14ac:dyDescent="0.3">
      <c r="A396" s="3" t="s">
        <v>126</v>
      </c>
      <c r="B396" s="2">
        <f>Table1[[#This Row],[Order ID]]*1</f>
        <v>2001806229</v>
      </c>
      <c r="C396" s="2">
        <v>8904223818706</v>
      </c>
      <c r="D396">
        <v>1</v>
      </c>
      <c r="E396">
        <f>_xlfn.XLOOKUP(Table1[[#This Row],[SKU (Product Code)]],'SKU Master'!A:A,'SKU Master'!B:B)</f>
        <v>127</v>
      </c>
      <c r="F396">
        <f>Table1[[#This Row],[Product weight]]*Table1[[#This Row],[Order Qty]]</f>
        <v>127</v>
      </c>
      <c r="G396">
        <f>Table1[[#This Row],[Weight per order (g)]]/1000</f>
        <v>0.127</v>
      </c>
      <c r="H396" s="1">
        <f>CEILING(Table1[[#This Row],[Weight per order (Kg)]],0.5)</f>
        <v>0.5</v>
      </c>
      <c r="I396" t="str">
        <f>_xlfn.XLOOKUP(Table1[[#This Row],[OrderID]],'Courier company invoice'!B:B,'Courier company invoice'!F:F)</f>
        <v>d</v>
      </c>
      <c r="J396" s="1" t="str">
        <f>_xlfn.XLOOKUP(Table1[[#This Row],[OrderID]],Table2[Order ID],Table2[Type of Shipment],"Not Found")</f>
        <v>Forward charges</v>
      </c>
      <c r="K396">
        <f>INDEX(Sheet1[],1,MATCH("fwd_"&amp;Table1[[#This Row],[Zone]]&amp;"_fixed",Sheet1[#Headers],0))</f>
        <v>45.4</v>
      </c>
      <c r="L396">
        <f>INDEX(Sheet1[],1,MATCH("fwd_"&amp;Table1[[#This Row],[Zone]]&amp;"_additional",Sheet1[#Headers],0))</f>
        <v>44.8</v>
      </c>
      <c r="M396" s="1">
        <f>(Table1[[#This Row],[Weight slab]]-0.5)/0.5</f>
        <v>0</v>
      </c>
      <c r="N396" s="1">
        <f>Table1[[#This Row],[Fixed_Charges]]+Table1[[#This Row],[No_of_Extra_slabs]]*Table1[[#This Row],[Additional_Charges]]</f>
        <v>45.4</v>
      </c>
      <c r="O396">
        <f>_xlfn.XLOOKUP(Table1[[#This Row],[OrderID]],'Courier company invoice'!B:B,'Courier company invoice'!H:H)</f>
        <v>90.2</v>
      </c>
      <c r="P396" s="1">
        <f>Table1[[#This Row],[Billing Amount]]-Table1[[#This Row],[Expected charges]]</f>
        <v>44.800000000000004</v>
      </c>
      <c r="Q396" s="1" t="str" cm="1">
        <f t="array" ref="Q396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97" spans="1:17" x14ac:dyDescent="0.3">
      <c r="A397" s="3" t="s">
        <v>126</v>
      </c>
      <c r="B397" s="2">
        <f>Table1[[#This Row],[Order ID]]*1</f>
        <v>2001806229</v>
      </c>
      <c r="C397" s="2">
        <v>8904223818942</v>
      </c>
      <c r="D397">
        <v>1</v>
      </c>
      <c r="E397">
        <f>_xlfn.XLOOKUP(Table1[[#This Row],[SKU (Product Code)]],'SKU Master'!A:A,'SKU Master'!B:B)</f>
        <v>133</v>
      </c>
      <c r="F397">
        <f>Table1[[#This Row],[Product weight]]*Table1[[#This Row],[Order Qty]]</f>
        <v>133</v>
      </c>
      <c r="G397">
        <f>Table1[[#This Row],[Weight per order (g)]]/1000</f>
        <v>0.13300000000000001</v>
      </c>
      <c r="H397" s="1">
        <f>CEILING(Table1[[#This Row],[Weight per order (Kg)]],0.5)</f>
        <v>0.5</v>
      </c>
      <c r="I397" t="str">
        <f>_xlfn.XLOOKUP(Table1[[#This Row],[OrderID]],'Courier company invoice'!B:B,'Courier company invoice'!F:F)</f>
        <v>d</v>
      </c>
      <c r="J397" s="1" t="str">
        <f>_xlfn.XLOOKUP(Table1[[#This Row],[OrderID]],Table2[Order ID],Table2[Type of Shipment],"Not Found")</f>
        <v>Forward charges</v>
      </c>
      <c r="K397">
        <f>INDEX(Sheet1[],1,MATCH("fwd_"&amp;Table1[[#This Row],[Zone]]&amp;"_fixed",Sheet1[#Headers],0))</f>
        <v>45.4</v>
      </c>
      <c r="L397">
        <f>INDEX(Sheet1[],1,MATCH("fwd_"&amp;Table1[[#This Row],[Zone]]&amp;"_additional",Sheet1[#Headers],0))</f>
        <v>44.8</v>
      </c>
      <c r="M397" s="1">
        <f>(Table1[[#This Row],[Weight slab]]-0.5)/0.5</f>
        <v>0</v>
      </c>
      <c r="N397" s="1">
        <f>Table1[[#This Row],[Fixed_Charges]]+Table1[[#This Row],[No_of_Extra_slabs]]*Table1[[#This Row],[Additional_Charges]]</f>
        <v>45.4</v>
      </c>
      <c r="O397">
        <f>_xlfn.XLOOKUP(Table1[[#This Row],[OrderID]],'Courier company invoice'!B:B,'Courier company invoice'!H:H)</f>
        <v>90.2</v>
      </c>
      <c r="P397" s="1">
        <f>Table1[[#This Row],[Billing Amount]]-Table1[[#This Row],[Expected charges]]</f>
        <v>44.800000000000004</v>
      </c>
      <c r="Q397" s="1" t="str" cm="1">
        <f t="array" ref="Q397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98" spans="1:17" x14ac:dyDescent="0.3">
      <c r="A398" s="3" t="s">
        <v>126</v>
      </c>
      <c r="B398" s="2">
        <f>Table1[[#This Row],[Order ID]]*1</f>
        <v>2001806229</v>
      </c>
      <c r="C398" s="2">
        <v>8904223818850</v>
      </c>
      <c r="D398">
        <v>1</v>
      </c>
      <c r="E398">
        <f>_xlfn.XLOOKUP(Table1[[#This Row],[SKU (Product Code)]],'SKU Master'!A:A,'SKU Master'!B:B)</f>
        <v>240</v>
      </c>
      <c r="F398">
        <f>Table1[[#This Row],[Product weight]]*Table1[[#This Row],[Order Qty]]</f>
        <v>240</v>
      </c>
      <c r="G398">
        <f>Table1[[#This Row],[Weight per order (g)]]/1000</f>
        <v>0.24</v>
      </c>
      <c r="H398" s="1">
        <f>CEILING(Table1[[#This Row],[Weight per order (Kg)]],0.5)</f>
        <v>0.5</v>
      </c>
      <c r="I398" t="str">
        <f>_xlfn.XLOOKUP(Table1[[#This Row],[OrderID]],'Courier company invoice'!B:B,'Courier company invoice'!F:F)</f>
        <v>d</v>
      </c>
      <c r="J398" s="1" t="str">
        <f>_xlfn.XLOOKUP(Table1[[#This Row],[OrderID]],Table2[Order ID],Table2[Type of Shipment],"Not Found")</f>
        <v>Forward charges</v>
      </c>
      <c r="K398">
        <f>INDEX(Sheet1[],1,MATCH("fwd_"&amp;Table1[[#This Row],[Zone]]&amp;"_fixed",Sheet1[#Headers],0))</f>
        <v>45.4</v>
      </c>
      <c r="L398">
        <f>INDEX(Sheet1[],1,MATCH("fwd_"&amp;Table1[[#This Row],[Zone]]&amp;"_additional",Sheet1[#Headers],0))</f>
        <v>44.8</v>
      </c>
      <c r="M398" s="1">
        <f>(Table1[[#This Row],[Weight slab]]-0.5)/0.5</f>
        <v>0</v>
      </c>
      <c r="N398" s="1">
        <f>Table1[[#This Row],[Fixed_Charges]]+Table1[[#This Row],[No_of_Extra_slabs]]*Table1[[#This Row],[Additional_Charges]]</f>
        <v>45.4</v>
      </c>
      <c r="O398">
        <f>_xlfn.XLOOKUP(Table1[[#This Row],[OrderID]],'Courier company invoice'!B:B,'Courier company invoice'!H:H)</f>
        <v>90.2</v>
      </c>
      <c r="P398" s="1">
        <f>Table1[[#This Row],[Billing Amount]]-Table1[[#This Row],[Expected charges]]</f>
        <v>44.800000000000004</v>
      </c>
      <c r="Q398" s="1" t="str" cm="1">
        <f t="array" ref="Q398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399" spans="1:17" x14ac:dyDescent="0.3">
      <c r="A399" s="3" t="s">
        <v>127</v>
      </c>
      <c r="B399" s="2">
        <f>Table1[[#This Row],[Order ID]]*1</f>
        <v>2001806226</v>
      </c>
      <c r="C399" s="2">
        <v>8904223818850</v>
      </c>
      <c r="D399">
        <v>2</v>
      </c>
      <c r="E399">
        <f>_xlfn.XLOOKUP(Table1[[#This Row],[SKU (Product Code)]],'SKU Master'!A:A,'SKU Master'!B:B)</f>
        <v>240</v>
      </c>
      <c r="F399">
        <f>Table1[[#This Row],[Product weight]]*Table1[[#This Row],[Order Qty]]</f>
        <v>480</v>
      </c>
      <c r="G399">
        <f>Table1[[#This Row],[Weight per order (g)]]/1000</f>
        <v>0.48</v>
      </c>
      <c r="H399" s="1">
        <f>CEILING(Table1[[#This Row],[Weight per order (Kg)]],0.5)</f>
        <v>0.5</v>
      </c>
      <c r="I399" t="str">
        <f>_xlfn.XLOOKUP(Table1[[#This Row],[OrderID]],'Courier company invoice'!B:B,'Courier company invoice'!F:F)</f>
        <v>d</v>
      </c>
      <c r="J399" s="1" t="str">
        <f>_xlfn.XLOOKUP(Table1[[#This Row],[OrderID]],Table2[Order ID],Table2[Type of Shipment],"Not Found")</f>
        <v>Forward charges</v>
      </c>
      <c r="K399">
        <f>INDEX(Sheet1[],1,MATCH("fwd_"&amp;Table1[[#This Row],[Zone]]&amp;"_fixed",Sheet1[#Headers],0))</f>
        <v>45.4</v>
      </c>
      <c r="L399">
        <f>INDEX(Sheet1[],1,MATCH("fwd_"&amp;Table1[[#This Row],[Zone]]&amp;"_additional",Sheet1[#Headers],0))</f>
        <v>44.8</v>
      </c>
      <c r="M399" s="1">
        <f>(Table1[[#This Row],[Weight slab]]-0.5)/0.5</f>
        <v>0</v>
      </c>
      <c r="N399" s="1">
        <f>Table1[[#This Row],[Fixed_Charges]]+Table1[[#This Row],[No_of_Extra_slabs]]*Table1[[#This Row],[Additional_Charges]]</f>
        <v>45.4</v>
      </c>
      <c r="O399">
        <f>_xlfn.XLOOKUP(Table1[[#This Row],[OrderID]],'Courier company invoice'!B:B,'Courier company invoice'!H:H)</f>
        <v>90.2</v>
      </c>
      <c r="P399" s="1">
        <f>Table1[[#This Row],[Billing Amount]]-Table1[[#This Row],[Expected charges]]</f>
        <v>44.800000000000004</v>
      </c>
      <c r="Q399" s="1" t="str" cm="1">
        <f t="array" ref="Q399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400" spans="1:17" x14ac:dyDescent="0.3">
      <c r="A400" s="3" t="s">
        <v>128</v>
      </c>
      <c r="B400" s="2">
        <f>Table1[[#This Row],[Order ID]]*1</f>
        <v>2001806210</v>
      </c>
      <c r="C400" s="2">
        <v>8904223816214</v>
      </c>
      <c r="D400">
        <v>1</v>
      </c>
      <c r="E400">
        <f>_xlfn.XLOOKUP(Table1[[#This Row],[SKU (Product Code)]],'SKU Master'!A:A,'SKU Master'!B:B)</f>
        <v>120</v>
      </c>
      <c r="F400">
        <f>Table1[[#This Row],[Product weight]]*Table1[[#This Row],[Order Qty]]</f>
        <v>120</v>
      </c>
      <c r="G400">
        <f>Table1[[#This Row],[Weight per order (g)]]/1000</f>
        <v>0.12</v>
      </c>
      <c r="H400" s="1">
        <f>CEILING(Table1[[#This Row],[Weight per order (Kg)]],0.5)</f>
        <v>0.5</v>
      </c>
      <c r="I400" t="str">
        <f>_xlfn.XLOOKUP(Table1[[#This Row],[OrderID]],'Courier company invoice'!B:B,'Courier company invoice'!F:F)</f>
        <v>b</v>
      </c>
      <c r="J400" s="1" t="str">
        <f>_xlfn.XLOOKUP(Table1[[#This Row],[OrderID]],Table2[Order ID],Table2[Type of Shipment],"Not Found")</f>
        <v>Forward charges</v>
      </c>
      <c r="K400">
        <f>INDEX(Sheet1[],1,MATCH("fwd_"&amp;Table1[[#This Row],[Zone]]&amp;"_fixed",Sheet1[#Headers],0))</f>
        <v>33</v>
      </c>
      <c r="L400">
        <f>INDEX(Sheet1[],1,MATCH("fwd_"&amp;Table1[[#This Row],[Zone]]&amp;"_additional",Sheet1[#Headers],0))</f>
        <v>28.3</v>
      </c>
      <c r="M400" s="1">
        <f>(Table1[[#This Row],[Weight slab]]-0.5)/0.5</f>
        <v>0</v>
      </c>
      <c r="N400" s="1">
        <f>Table1[[#This Row],[Fixed_Charges]]+Table1[[#This Row],[No_of_Extra_slabs]]*Table1[[#This Row],[Additional_Charges]]</f>
        <v>33</v>
      </c>
      <c r="O400">
        <f>_xlfn.XLOOKUP(Table1[[#This Row],[OrderID]],'Courier company invoice'!B:B,'Courier company invoice'!H:H)</f>
        <v>174.5</v>
      </c>
      <c r="P400" s="1">
        <f>Table1[[#This Row],[Billing Amount]]-Table1[[#This Row],[Expected charges]]</f>
        <v>141.5</v>
      </c>
      <c r="Q400" s="1" t="str" cm="1">
        <f t="array" ref="Q400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  <row r="401" spans="1:17" x14ac:dyDescent="0.3">
      <c r="A401" s="3" t="s">
        <v>128</v>
      </c>
      <c r="B401" s="2">
        <f>Table1[[#This Row],[Order ID]]*1</f>
        <v>2001806210</v>
      </c>
      <c r="C401" s="2">
        <v>8904223818874</v>
      </c>
      <c r="D401">
        <v>1</v>
      </c>
      <c r="E401">
        <f>_xlfn.XLOOKUP(Table1[[#This Row],[SKU (Product Code)]],'SKU Master'!A:A,'SKU Master'!B:B)</f>
        <v>100</v>
      </c>
      <c r="F401">
        <f>Table1[[#This Row],[Product weight]]*Table1[[#This Row],[Order Qty]]</f>
        <v>100</v>
      </c>
      <c r="G401">
        <f>Table1[[#This Row],[Weight per order (g)]]/1000</f>
        <v>0.1</v>
      </c>
      <c r="H401" s="1">
        <f>CEILING(Table1[[#This Row],[Weight per order (Kg)]],0.5)</f>
        <v>0.5</v>
      </c>
      <c r="I401" t="str">
        <f>_xlfn.XLOOKUP(Table1[[#This Row],[OrderID]],'Courier company invoice'!B:B,'Courier company invoice'!F:F)</f>
        <v>b</v>
      </c>
      <c r="J401" s="1" t="str">
        <f>_xlfn.XLOOKUP(Table1[[#This Row],[OrderID]],Table2[Order ID],Table2[Type of Shipment],"Not Found")</f>
        <v>Forward charges</v>
      </c>
      <c r="K401">
        <f>INDEX(Sheet1[],1,MATCH("fwd_"&amp;Table1[[#This Row],[Zone]]&amp;"_fixed",Sheet1[#Headers],0))</f>
        <v>33</v>
      </c>
      <c r="L401">
        <f>INDEX(Sheet1[],1,MATCH("fwd_"&amp;Table1[[#This Row],[Zone]]&amp;"_additional",Sheet1[#Headers],0))</f>
        <v>28.3</v>
      </c>
      <c r="M401" s="1">
        <f>(Table1[[#This Row],[Weight slab]]-0.5)/0.5</f>
        <v>0</v>
      </c>
      <c r="N401" s="1">
        <f>Table1[[#This Row],[Fixed_Charges]]+Table1[[#This Row],[No_of_Extra_slabs]]*Table1[[#This Row],[Additional_Charges]]</f>
        <v>33</v>
      </c>
      <c r="O401">
        <f>_xlfn.XLOOKUP(Table1[[#This Row],[OrderID]],'Courier company invoice'!B:B,'Courier company invoice'!H:H)</f>
        <v>174.5</v>
      </c>
      <c r="P401" s="1">
        <f>Table1[[#This Row],[Billing Amount]]-Table1[[#This Row],[Expected charges]]</f>
        <v>141.5</v>
      </c>
      <c r="Q401" s="1" t="str" cm="1">
        <f t="array" ref="Q401">_xlfn.IFS(Table1[[#This Row],[Billing Amount]]&gt;Table1[[#This Row],[Expected charges]],"Over Charged",Table1[[#This Row],[Billing Amount]]&lt;Table1[[#This Row],[Expected charges]],"Under Charged",Table1[[#This Row],[Billing Amount]]=Table1[[#This Row],[Expected charges]],"Correctly Charged")</f>
        <v>Over Charged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0586-32D3-4C2F-8DA8-AEF7029915CF}">
  <dimension ref="A1:B67"/>
  <sheetViews>
    <sheetView workbookViewId="0">
      <selection activeCell="C12" sqref="C12"/>
    </sheetView>
  </sheetViews>
  <sheetFormatPr defaultRowHeight="14.4" x14ac:dyDescent="0.3"/>
  <cols>
    <col min="1" max="1" width="19.88671875" style="2" bestFit="1" customWidth="1"/>
    <col min="2" max="2" width="12" bestFit="1" customWidth="1"/>
  </cols>
  <sheetData>
    <row r="1" spans="1:2" s="5" customFormat="1" x14ac:dyDescent="0.3">
      <c r="A1" s="6" t="s">
        <v>165</v>
      </c>
      <c r="B1" s="5" t="s">
        <v>136</v>
      </c>
    </row>
    <row r="2" spans="1:2" x14ac:dyDescent="0.3">
      <c r="A2" s="2">
        <v>8904223815682</v>
      </c>
      <c r="B2">
        <v>210</v>
      </c>
    </row>
    <row r="3" spans="1:2" x14ac:dyDescent="0.3">
      <c r="A3" s="2">
        <v>8904223815859</v>
      </c>
      <c r="B3">
        <v>165</v>
      </c>
    </row>
    <row r="4" spans="1:2" x14ac:dyDescent="0.3">
      <c r="A4" s="2">
        <v>8904223815866</v>
      </c>
      <c r="B4">
        <v>113</v>
      </c>
    </row>
    <row r="5" spans="1:2" x14ac:dyDescent="0.3">
      <c r="A5" s="2">
        <v>8904223815873</v>
      </c>
      <c r="B5">
        <v>65</v>
      </c>
    </row>
    <row r="6" spans="1:2" x14ac:dyDescent="0.3">
      <c r="A6" s="2">
        <v>8904223816214</v>
      </c>
      <c r="B6">
        <v>120</v>
      </c>
    </row>
    <row r="7" spans="1:2" x14ac:dyDescent="0.3">
      <c r="A7" s="2">
        <v>8904223816665</v>
      </c>
      <c r="B7">
        <v>102</v>
      </c>
    </row>
    <row r="8" spans="1:2" x14ac:dyDescent="0.3">
      <c r="A8" s="2">
        <v>8904223817273</v>
      </c>
      <c r="B8">
        <v>65</v>
      </c>
    </row>
    <row r="9" spans="1:2" x14ac:dyDescent="0.3">
      <c r="A9" s="2">
        <v>8904223817334</v>
      </c>
      <c r="B9">
        <v>170</v>
      </c>
    </row>
    <row r="10" spans="1:2" x14ac:dyDescent="0.3">
      <c r="A10" s="2">
        <v>8904223817501</v>
      </c>
      <c r="B10">
        <v>350</v>
      </c>
    </row>
    <row r="11" spans="1:2" x14ac:dyDescent="0.3">
      <c r="A11" s="2">
        <v>8904223818430</v>
      </c>
      <c r="B11">
        <v>165</v>
      </c>
    </row>
    <row r="12" spans="1:2" x14ac:dyDescent="0.3">
      <c r="A12" s="2">
        <v>8904223818478</v>
      </c>
      <c r="B12">
        <v>350</v>
      </c>
    </row>
    <row r="13" spans="1:2" x14ac:dyDescent="0.3">
      <c r="A13" s="2">
        <v>8904223818553</v>
      </c>
      <c r="B13">
        <v>115</v>
      </c>
    </row>
    <row r="14" spans="1:2" x14ac:dyDescent="0.3">
      <c r="A14" s="2">
        <v>8904223818577</v>
      </c>
      <c r="B14">
        <v>150</v>
      </c>
    </row>
    <row r="15" spans="1:2" x14ac:dyDescent="0.3">
      <c r="A15" s="2">
        <v>8904223818591</v>
      </c>
      <c r="B15">
        <v>120</v>
      </c>
    </row>
    <row r="16" spans="1:2" x14ac:dyDescent="0.3">
      <c r="A16" s="2">
        <v>8904223818614</v>
      </c>
      <c r="B16">
        <v>65</v>
      </c>
    </row>
    <row r="17" spans="1:2" x14ac:dyDescent="0.3">
      <c r="A17" s="2">
        <v>8904223818638</v>
      </c>
      <c r="B17">
        <v>137</v>
      </c>
    </row>
    <row r="18" spans="1:2" x14ac:dyDescent="0.3">
      <c r="A18" s="2">
        <v>8904223818645</v>
      </c>
      <c r="B18">
        <v>137</v>
      </c>
    </row>
    <row r="19" spans="1:2" x14ac:dyDescent="0.3">
      <c r="A19" s="2">
        <v>8904223818669</v>
      </c>
      <c r="B19">
        <v>240</v>
      </c>
    </row>
    <row r="20" spans="1:2" x14ac:dyDescent="0.3">
      <c r="A20" s="2">
        <v>8904223818683</v>
      </c>
      <c r="B20">
        <v>121</v>
      </c>
    </row>
    <row r="21" spans="1:2" x14ac:dyDescent="0.3">
      <c r="A21" s="2">
        <v>8904223818706</v>
      </c>
      <c r="B21">
        <v>127</v>
      </c>
    </row>
    <row r="22" spans="1:2" x14ac:dyDescent="0.3">
      <c r="A22" s="2">
        <v>8904223818713</v>
      </c>
      <c r="B22">
        <v>120</v>
      </c>
    </row>
    <row r="23" spans="1:2" x14ac:dyDescent="0.3">
      <c r="A23" s="2">
        <v>8904223815804</v>
      </c>
      <c r="B23">
        <v>160</v>
      </c>
    </row>
    <row r="24" spans="1:2" x14ac:dyDescent="0.3">
      <c r="A24" s="2">
        <v>8904223818454</v>
      </c>
      <c r="B24">
        <v>232</v>
      </c>
    </row>
    <row r="25" spans="1:2" x14ac:dyDescent="0.3">
      <c r="A25" s="2">
        <v>8904223818751</v>
      </c>
      <c r="B25">
        <v>113</v>
      </c>
    </row>
    <row r="26" spans="1:2" x14ac:dyDescent="0.3">
      <c r="A26" s="2">
        <v>8904223818850</v>
      </c>
      <c r="B26">
        <v>240</v>
      </c>
    </row>
    <row r="27" spans="1:2" x14ac:dyDescent="0.3">
      <c r="A27" s="2">
        <v>8904223818935</v>
      </c>
      <c r="B27">
        <v>120</v>
      </c>
    </row>
    <row r="28" spans="1:2" x14ac:dyDescent="0.3">
      <c r="A28" s="2">
        <v>8904223818874</v>
      </c>
      <c r="B28">
        <v>100</v>
      </c>
    </row>
    <row r="29" spans="1:2" x14ac:dyDescent="0.3">
      <c r="A29" s="2">
        <v>8904223818997</v>
      </c>
      <c r="B29">
        <v>490</v>
      </c>
    </row>
    <row r="30" spans="1:2" x14ac:dyDescent="0.3">
      <c r="A30" s="2">
        <v>8904223818942</v>
      </c>
      <c r="B30">
        <v>133</v>
      </c>
    </row>
    <row r="31" spans="1:2" x14ac:dyDescent="0.3">
      <c r="A31" s="2">
        <v>8904223819024</v>
      </c>
      <c r="B31">
        <v>112</v>
      </c>
    </row>
    <row r="32" spans="1:2" x14ac:dyDescent="0.3">
      <c r="A32" s="2">
        <v>8904223819031</v>
      </c>
      <c r="B32">
        <v>112</v>
      </c>
    </row>
    <row r="33" spans="1:2" x14ac:dyDescent="0.3">
      <c r="A33" s="2">
        <v>8904223818980</v>
      </c>
      <c r="B33">
        <v>110</v>
      </c>
    </row>
    <row r="34" spans="1:2" x14ac:dyDescent="0.3">
      <c r="A34" s="2">
        <v>8904223819017</v>
      </c>
      <c r="B34">
        <v>115</v>
      </c>
    </row>
    <row r="35" spans="1:2" x14ac:dyDescent="0.3">
      <c r="A35" s="2">
        <v>8904223819093</v>
      </c>
      <c r="B35">
        <v>150</v>
      </c>
    </row>
    <row r="36" spans="1:2" x14ac:dyDescent="0.3">
      <c r="A36" s="2">
        <v>8904223819109</v>
      </c>
      <c r="B36">
        <v>100</v>
      </c>
    </row>
    <row r="37" spans="1:2" x14ac:dyDescent="0.3">
      <c r="A37" s="2">
        <v>8904223819116</v>
      </c>
      <c r="B37">
        <v>30</v>
      </c>
    </row>
    <row r="38" spans="1:2" x14ac:dyDescent="0.3">
      <c r="A38" s="2">
        <v>8904223819161</v>
      </c>
      <c r="B38">
        <v>115</v>
      </c>
    </row>
    <row r="39" spans="1:2" x14ac:dyDescent="0.3">
      <c r="A39" s="2">
        <v>8904223819147</v>
      </c>
      <c r="B39">
        <v>240</v>
      </c>
    </row>
    <row r="40" spans="1:2" x14ac:dyDescent="0.3">
      <c r="A40" s="2">
        <v>8904223819130</v>
      </c>
      <c r="B40">
        <v>350</v>
      </c>
    </row>
    <row r="41" spans="1:2" x14ac:dyDescent="0.3">
      <c r="A41" s="2">
        <v>8904223818881</v>
      </c>
      <c r="B41">
        <v>140</v>
      </c>
    </row>
    <row r="42" spans="1:2" x14ac:dyDescent="0.3">
      <c r="A42" s="2">
        <v>8904223818898</v>
      </c>
      <c r="B42">
        <v>140</v>
      </c>
    </row>
    <row r="43" spans="1:2" x14ac:dyDescent="0.3">
      <c r="A43" s="2">
        <v>8904223819277</v>
      </c>
      <c r="B43">
        <v>350</v>
      </c>
    </row>
    <row r="44" spans="1:2" x14ac:dyDescent="0.3">
      <c r="A44" s="2">
        <v>8904223819284</v>
      </c>
      <c r="B44">
        <v>350</v>
      </c>
    </row>
    <row r="45" spans="1:2" x14ac:dyDescent="0.3">
      <c r="A45" s="2">
        <v>8904223819345</v>
      </c>
      <c r="B45">
        <v>165</v>
      </c>
    </row>
    <row r="46" spans="1:2" x14ac:dyDescent="0.3">
      <c r="A46" s="2">
        <v>8904223819352</v>
      </c>
      <c r="B46">
        <v>165</v>
      </c>
    </row>
    <row r="47" spans="1:2" x14ac:dyDescent="0.3">
      <c r="A47" s="2">
        <v>8904223819239</v>
      </c>
      <c r="B47">
        <v>290</v>
      </c>
    </row>
    <row r="48" spans="1:2" x14ac:dyDescent="0.3">
      <c r="A48" s="2">
        <v>8904223819246</v>
      </c>
      <c r="B48">
        <v>290</v>
      </c>
    </row>
    <row r="49" spans="1:2" x14ac:dyDescent="0.3">
      <c r="A49" s="2">
        <v>8904223819253</v>
      </c>
      <c r="B49">
        <v>290</v>
      </c>
    </row>
    <row r="50" spans="1:2" x14ac:dyDescent="0.3">
      <c r="A50" s="2">
        <v>8904223819291</v>
      </c>
      <c r="B50">
        <v>112</v>
      </c>
    </row>
    <row r="51" spans="1:2" x14ac:dyDescent="0.3">
      <c r="A51" s="2">
        <v>8904223819437</v>
      </c>
      <c r="B51">
        <v>552</v>
      </c>
    </row>
    <row r="52" spans="1:2" x14ac:dyDescent="0.3">
      <c r="A52" s="2" t="s">
        <v>66</v>
      </c>
      <c r="B52">
        <v>500</v>
      </c>
    </row>
    <row r="53" spans="1:2" x14ac:dyDescent="0.3">
      <c r="A53" s="2" t="s">
        <v>54</v>
      </c>
      <c r="B53">
        <v>500</v>
      </c>
    </row>
    <row r="54" spans="1:2" x14ac:dyDescent="0.3">
      <c r="A54" s="2" t="s">
        <v>1</v>
      </c>
      <c r="B54">
        <v>500</v>
      </c>
    </row>
    <row r="55" spans="1:2" x14ac:dyDescent="0.3">
      <c r="A55" s="2">
        <v>8904223819369</v>
      </c>
      <c r="B55">
        <v>170</v>
      </c>
    </row>
    <row r="56" spans="1:2" x14ac:dyDescent="0.3">
      <c r="A56" s="2" t="s">
        <v>29</v>
      </c>
      <c r="B56">
        <v>500</v>
      </c>
    </row>
    <row r="57" spans="1:2" x14ac:dyDescent="0.3">
      <c r="A57" s="2">
        <v>8904223819123</v>
      </c>
      <c r="B57">
        <v>250</v>
      </c>
    </row>
    <row r="58" spans="1:2" x14ac:dyDescent="0.3">
      <c r="A58" s="2" t="s">
        <v>1</v>
      </c>
      <c r="B58">
        <v>500</v>
      </c>
    </row>
    <row r="59" spans="1:2" x14ac:dyDescent="0.3">
      <c r="A59" s="2">
        <v>8904223819468</v>
      </c>
      <c r="B59">
        <v>240</v>
      </c>
    </row>
    <row r="60" spans="1:2" x14ac:dyDescent="0.3">
      <c r="A60" s="2">
        <v>8904223819260</v>
      </c>
      <c r="B60">
        <v>130</v>
      </c>
    </row>
    <row r="61" spans="1:2" x14ac:dyDescent="0.3">
      <c r="A61" s="2">
        <v>8904223819321</v>
      </c>
      <c r="B61">
        <v>600</v>
      </c>
    </row>
    <row r="62" spans="1:2" x14ac:dyDescent="0.3">
      <c r="A62" s="2">
        <v>8904223819338</v>
      </c>
      <c r="B62">
        <v>600</v>
      </c>
    </row>
    <row r="63" spans="1:2" x14ac:dyDescent="0.3">
      <c r="A63" s="2">
        <v>8904223819505</v>
      </c>
      <c r="B63">
        <v>210</v>
      </c>
    </row>
    <row r="64" spans="1:2" x14ac:dyDescent="0.3">
      <c r="A64" s="2">
        <v>8904223819499</v>
      </c>
      <c r="B64">
        <v>210</v>
      </c>
    </row>
    <row r="65" spans="1:2" x14ac:dyDescent="0.3">
      <c r="A65" s="2">
        <v>8904223819512</v>
      </c>
      <c r="B65">
        <v>210</v>
      </c>
    </row>
    <row r="66" spans="1:2" x14ac:dyDescent="0.3">
      <c r="A66" s="2">
        <v>8904223819543</v>
      </c>
      <c r="B66">
        <v>300</v>
      </c>
    </row>
    <row r="67" spans="1:2" x14ac:dyDescent="0.3">
      <c r="A67" s="2" t="s">
        <v>2</v>
      </c>
      <c r="B67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4DB6-B483-42FA-97E3-9D4E053AD12D}">
  <dimension ref="A1:C125"/>
  <sheetViews>
    <sheetView workbookViewId="0">
      <selection activeCell="A7" sqref="A7"/>
    </sheetView>
  </sheetViews>
  <sheetFormatPr defaultRowHeight="14.4" x14ac:dyDescent="0.3"/>
  <cols>
    <col min="1" max="1" width="20.21875" bestFit="1" customWidth="1"/>
    <col min="2" max="2" width="18.6640625" bestFit="1" customWidth="1"/>
    <col min="3" max="3" width="7.44140625" bestFit="1" customWidth="1"/>
  </cols>
  <sheetData>
    <row r="1" spans="1:3" s="5" customFormat="1" x14ac:dyDescent="0.3">
      <c r="A1" s="5" t="s">
        <v>130</v>
      </c>
      <c r="B1" s="5" t="s">
        <v>131</v>
      </c>
      <c r="C1" s="5" t="s">
        <v>132</v>
      </c>
    </row>
    <row r="2" spans="1:3" x14ac:dyDescent="0.3">
      <c r="A2">
        <v>121003</v>
      </c>
      <c r="B2">
        <v>507101</v>
      </c>
      <c r="C2" t="s">
        <v>133</v>
      </c>
    </row>
    <row r="3" spans="1:3" x14ac:dyDescent="0.3">
      <c r="A3">
        <v>121003</v>
      </c>
      <c r="B3">
        <v>486886</v>
      </c>
      <c r="C3" t="s">
        <v>133</v>
      </c>
    </row>
    <row r="4" spans="1:3" x14ac:dyDescent="0.3">
      <c r="A4">
        <v>121003</v>
      </c>
      <c r="B4">
        <v>532484</v>
      </c>
      <c r="C4" t="s">
        <v>133</v>
      </c>
    </row>
    <row r="5" spans="1:3" x14ac:dyDescent="0.3">
      <c r="A5">
        <v>121003</v>
      </c>
      <c r="B5">
        <v>143001</v>
      </c>
      <c r="C5" t="s">
        <v>134</v>
      </c>
    </row>
    <row r="6" spans="1:3" x14ac:dyDescent="0.3">
      <c r="A6">
        <v>121003</v>
      </c>
      <c r="B6">
        <v>515591</v>
      </c>
      <c r="C6" t="s">
        <v>133</v>
      </c>
    </row>
    <row r="7" spans="1:3" x14ac:dyDescent="0.3">
      <c r="A7">
        <v>121003</v>
      </c>
      <c r="B7">
        <v>326502</v>
      </c>
      <c r="C7" t="s">
        <v>133</v>
      </c>
    </row>
    <row r="8" spans="1:3" x14ac:dyDescent="0.3">
      <c r="A8">
        <v>121003</v>
      </c>
      <c r="B8">
        <v>208019</v>
      </c>
      <c r="C8" t="s">
        <v>134</v>
      </c>
    </row>
    <row r="9" spans="1:3" x14ac:dyDescent="0.3">
      <c r="A9">
        <v>121003</v>
      </c>
      <c r="B9">
        <v>140301</v>
      </c>
      <c r="C9" t="s">
        <v>134</v>
      </c>
    </row>
    <row r="10" spans="1:3" x14ac:dyDescent="0.3">
      <c r="A10">
        <v>121003</v>
      </c>
      <c r="B10">
        <v>396001</v>
      </c>
      <c r="C10" t="s">
        <v>133</v>
      </c>
    </row>
    <row r="11" spans="1:3" x14ac:dyDescent="0.3">
      <c r="A11">
        <v>121003</v>
      </c>
      <c r="B11">
        <v>711106</v>
      </c>
      <c r="C11" t="s">
        <v>133</v>
      </c>
    </row>
    <row r="12" spans="1:3" x14ac:dyDescent="0.3">
      <c r="A12">
        <v>121003</v>
      </c>
      <c r="B12">
        <v>284001</v>
      </c>
      <c r="C12" t="s">
        <v>134</v>
      </c>
    </row>
    <row r="13" spans="1:3" x14ac:dyDescent="0.3">
      <c r="A13">
        <v>121003</v>
      </c>
      <c r="B13">
        <v>441601</v>
      </c>
      <c r="C13" t="s">
        <v>133</v>
      </c>
    </row>
    <row r="14" spans="1:3" x14ac:dyDescent="0.3">
      <c r="A14">
        <v>121003</v>
      </c>
      <c r="B14">
        <v>248006</v>
      </c>
      <c r="C14" t="s">
        <v>134</v>
      </c>
    </row>
    <row r="15" spans="1:3" x14ac:dyDescent="0.3">
      <c r="A15">
        <v>121003</v>
      </c>
      <c r="B15">
        <v>485001</v>
      </c>
      <c r="C15" t="s">
        <v>133</v>
      </c>
    </row>
    <row r="16" spans="1:3" x14ac:dyDescent="0.3">
      <c r="A16">
        <v>121003</v>
      </c>
      <c r="B16">
        <v>845438</v>
      </c>
      <c r="C16" t="s">
        <v>133</v>
      </c>
    </row>
    <row r="17" spans="1:3" x14ac:dyDescent="0.3">
      <c r="A17">
        <v>121003</v>
      </c>
      <c r="B17">
        <v>463106</v>
      </c>
      <c r="C17" t="s">
        <v>133</v>
      </c>
    </row>
    <row r="18" spans="1:3" x14ac:dyDescent="0.3">
      <c r="A18">
        <v>121003</v>
      </c>
      <c r="B18">
        <v>140301</v>
      </c>
      <c r="C18" t="s">
        <v>134</v>
      </c>
    </row>
    <row r="19" spans="1:3" x14ac:dyDescent="0.3">
      <c r="A19">
        <v>121003</v>
      </c>
      <c r="B19">
        <v>495671</v>
      </c>
      <c r="C19" t="s">
        <v>133</v>
      </c>
    </row>
    <row r="20" spans="1:3" x14ac:dyDescent="0.3">
      <c r="A20">
        <v>121003</v>
      </c>
      <c r="B20">
        <v>673002</v>
      </c>
      <c r="C20" t="s">
        <v>135</v>
      </c>
    </row>
    <row r="21" spans="1:3" x14ac:dyDescent="0.3">
      <c r="A21">
        <v>121003</v>
      </c>
      <c r="B21">
        <v>208002</v>
      </c>
      <c r="C21" t="s">
        <v>134</v>
      </c>
    </row>
    <row r="22" spans="1:3" x14ac:dyDescent="0.3">
      <c r="A22">
        <v>121003</v>
      </c>
      <c r="B22">
        <v>416010</v>
      </c>
      <c r="C22" t="s">
        <v>133</v>
      </c>
    </row>
    <row r="23" spans="1:3" x14ac:dyDescent="0.3">
      <c r="A23">
        <v>121003</v>
      </c>
      <c r="B23">
        <v>226010</v>
      </c>
      <c r="C23" t="s">
        <v>134</v>
      </c>
    </row>
    <row r="24" spans="1:3" x14ac:dyDescent="0.3">
      <c r="A24">
        <v>121003</v>
      </c>
      <c r="B24">
        <v>400705</v>
      </c>
      <c r="C24" t="s">
        <v>133</v>
      </c>
    </row>
    <row r="25" spans="1:3" x14ac:dyDescent="0.3">
      <c r="A25">
        <v>121003</v>
      </c>
      <c r="B25">
        <v>262405</v>
      </c>
      <c r="C25" t="s">
        <v>134</v>
      </c>
    </row>
    <row r="26" spans="1:3" x14ac:dyDescent="0.3">
      <c r="A26">
        <v>121003</v>
      </c>
      <c r="B26">
        <v>394210</v>
      </c>
      <c r="C26" t="s">
        <v>133</v>
      </c>
    </row>
    <row r="27" spans="1:3" x14ac:dyDescent="0.3">
      <c r="A27">
        <v>121003</v>
      </c>
      <c r="B27">
        <v>411014</v>
      </c>
      <c r="C27" t="s">
        <v>133</v>
      </c>
    </row>
    <row r="28" spans="1:3" x14ac:dyDescent="0.3">
      <c r="A28">
        <v>121003</v>
      </c>
      <c r="B28">
        <v>783301</v>
      </c>
      <c r="C28" t="s">
        <v>135</v>
      </c>
    </row>
    <row r="29" spans="1:3" x14ac:dyDescent="0.3">
      <c r="A29">
        <v>121003</v>
      </c>
      <c r="B29">
        <v>486661</v>
      </c>
      <c r="C29" t="s">
        <v>133</v>
      </c>
    </row>
    <row r="30" spans="1:3" x14ac:dyDescent="0.3">
      <c r="A30">
        <v>121003</v>
      </c>
      <c r="B30">
        <v>244001</v>
      </c>
      <c r="C30" t="s">
        <v>134</v>
      </c>
    </row>
    <row r="31" spans="1:3" x14ac:dyDescent="0.3">
      <c r="A31">
        <v>121003</v>
      </c>
      <c r="B31">
        <v>492001</v>
      </c>
      <c r="C31" t="s">
        <v>133</v>
      </c>
    </row>
    <row r="32" spans="1:3" x14ac:dyDescent="0.3">
      <c r="A32">
        <v>121003</v>
      </c>
      <c r="B32">
        <v>517128</v>
      </c>
      <c r="C32" t="s">
        <v>133</v>
      </c>
    </row>
    <row r="33" spans="1:3" x14ac:dyDescent="0.3">
      <c r="A33">
        <v>121003</v>
      </c>
      <c r="B33">
        <v>562110</v>
      </c>
      <c r="C33" t="s">
        <v>133</v>
      </c>
    </row>
    <row r="34" spans="1:3" x14ac:dyDescent="0.3">
      <c r="A34">
        <v>121003</v>
      </c>
      <c r="B34">
        <v>831006</v>
      </c>
      <c r="C34" t="s">
        <v>133</v>
      </c>
    </row>
    <row r="35" spans="1:3" x14ac:dyDescent="0.3">
      <c r="A35">
        <v>121003</v>
      </c>
      <c r="B35">
        <v>140604</v>
      </c>
      <c r="C35" t="s">
        <v>134</v>
      </c>
    </row>
    <row r="36" spans="1:3" x14ac:dyDescent="0.3">
      <c r="A36">
        <v>121003</v>
      </c>
      <c r="B36">
        <v>723146</v>
      </c>
      <c r="C36" t="s">
        <v>133</v>
      </c>
    </row>
    <row r="37" spans="1:3" x14ac:dyDescent="0.3">
      <c r="A37">
        <v>121003</v>
      </c>
      <c r="B37">
        <v>421204</v>
      </c>
      <c r="C37" t="s">
        <v>133</v>
      </c>
    </row>
    <row r="38" spans="1:3" x14ac:dyDescent="0.3">
      <c r="A38">
        <v>121003</v>
      </c>
      <c r="B38">
        <v>263139</v>
      </c>
      <c r="C38" t="s">
        <v>134</v>
      </c>
    </row>
    <row r="39" spans="1:3" x14ac:dyDescent="0.3">
      <c r="A39">
        <v>121003</v>
      </c>
      <c r="B39">
        <v>743263</v>
      </c>
      <c r="C39" t="s">
        <v>133</v>
      </c>
    </row>
    <row r="40" spans="1:3" x14ac:dyDescent="0.3">
      <c r="A40">
        <v>121003</v>
      </c>
      <c r="B40">
        <v>392150</v>
      </c>
      <c r="C40" t="s">
        <v>133</v>
      </c>
    </row>
    <row r="41" spans="1:3" x14ac:dyDescent="0.3">
      <c r="A41">
        <v>121003</v>
      </c>
      <c r="B41">
        <v>382830</v>
      </c>
      <c r="C41" t="s">
        <v>133</v>
      </c>
    </row>
    <row r="42" spans="1:3" x14ac:dyDescent="0.3">
      <c r="A42">
        <v>121003</v>
      </c>
      <c r="B42">
        <v>711303</v>
      </c>
      <c r="C42" t="s">
        <v>133</v>
      </c>
    </row>
    <row r="43" spans="1:3" x14ac:dyDescent="0.3">
      <c r="A43">
        <v>121003</v>
      </c>
      <c r="B43">
        <v>283102</v>
      </c>
      <c r="C43" t="s">
        <v>134</v>
      </c>
    </row>
    <row r="44" spans="1:3" x14ac:dyDescent="0.3">
      <c r="A44">
        <v>121003</v>
      </c>
      <c r="B44">
        <v>370201</v>
      </c>
      <c r="C44" t="s">
        <v>133</v>
      </c>
    </row>
    <row r="45" spans="1:3" x14ac:dyDescent="0.3">
      <c r="A45">
        <v>121003</v>
      </c>
      <c r="B45">
        <v>248001</v>
      </c>
      <c r="C45" t="s">
        <v>134</v>
      </c>
    </row>
    <row r="46" spans="1:3" x14ac:dyDescent="0.3">
      <c r="A46">
        <v>121003</v>
      </c>
      <c r="B46">
        <v>144001</v>
      </c>
      <c r="C46" t="s">
        <v>134</v>
      </c>
    </row>
    <row r="47" spans="1:3" x14ac:dyDescent="0.3">
      <c r="A47">
        <v>121003</v>
      </c>
      <c r="B47">
        <v>403401</v>
      </c>
      <c r="C47" t="s">
        <v>133</v>
      </c>
    </row>
    <row r="48" spans="1:3" x14ac:dyDescent="0.3">
      <c r="A48">
        <v>121003</v>
      </c>
      <c r="B48">
        <v>452001</v>
      </c>
      <c r="C48" t="s">
        <v>133</v>
      </c>
    </row>
    <row r="49" spans="1:3" x14ac:dyDescent="0.3">
      <c r="A49">
        <v>121003</v>
      </c>
      <c r="B49">
        <v>721636</v>
      </c>
      <c r="C49" t="s">
        <v>133</v>
      </c>
    </row>
    <row r="50" spans="1:3" x14ac:dyDescent="0.3">
      <c r="A50">
        <v>121003</v>
      </c>
      <c r="B50">
        <v>831002</v>
      </c>
      <c r="C50" t="s">
        <v>133</v>
      </c>
    </row>
    <row r="51" spans="1:3" x14ac:dyDescent="0.3">
      <c r="A51">
        <v>121003</v>
      </c>
      <c r="B51">
        <v>226004</v>
      </c>
      <c r="C51" t="s">
        <v>134</v>
      </c>
    </row>
    <row r="52" spans="1:3" x14ac:dyDescent="0.3">
      <c r="A52">
        <v>121003</v>
      </c>
      <c r="B52">
        <v>248001</v>
      </c>
      <c r="C52" t="s">
        <v>134</v>
      </c>
    </row>
    <row r="53" spans="1:3" x14ac:dyDescent="0.3">
      <c r="A53">
        <v>121003</v>
      </c>
      <c r="B53">
        <v>410206</v>
      </c>
      <c r="C53" t="s">
        <v>133</v>
      </c>
    </row>
    <row r="54" spans="1:3" x14ac:dyDescent="0.3">
      <c r="A54">
        <v>121003</v>
      </c>
      <c r="B54">
        <v>516503</v>
      </c>
      <c r="C54" t="s">
        <v>133</v>
      </c>
    </row>
    <row r="55" spans="1:3" x14ac:dyDescent="0.3">
      <c r="A55">
        <v>121003</v>
      </c>
      <c r="B55">
        <v>742103</v>
      </c>
      <c r="C55" t="s">
        <v>133</v>
      </c>
    </row>
    <row r="56" spans="1:3" x14ac:dyDescent="0.3">
      <c r="A56">
        <v>121003</v>
      </c>
      <c r="B56">
        <v>452018</v>
      </c>
      <c r="C56" t="s">
        <v>133</v>
      </c>
    </row>
    <row r="57" spans="1:3" x14ac:dyDescent="0.3">
      <c r="A57">
        <v>121003</v>
      </c>
      <c r="B57">
        <v>208001</v>
      </c>
      <c r="C57" t="s">
        <v>134</v>
      </c>
    </row>
    <row r="58" spans="1:3" x14ac:dyDescent="0.3">
      <c r="A58">
        <v>121003</v>
      </c>
      <c r="B58">
        <v>244713</v>
      </c>
      <c r="C58" t="s">
        <v>134</v>
      </c>
    </row>
    <row r="59" spans="1:3" x14ac:dyDescent="0.3">
      <c r="A59">
        <v>121003</v>
      </c>
      <c r="B59">
        <v>580007</v>
      </c>
      <c r="C59" t="s">
        <v>133</v>
      </c>
    </row>
    <row r="60" spans="1:3" x14ac:dyDescent="0.3">
      <c r="A60">
        <v>121003</v>
      </c>
      <c r="B60">
        <v>360005</v>
      </c>
      <c r="C60" t="s">
        <v>133</v>
      </c>
    </row>
    <row r="61" spans="1:3" x14ac:dyDescent="0.3">
      <c r="A61">
        <v>121003</v>
      </c>
      <c r="B61">
        <v>313027</v>
      </c>
      <c r="C61" t="s">
        <v>134</v>
      </c>
    </row>
    <row r="62" spans="1:3" x14ac:dyDescent="0.3">
      <c r="A62">
        <v>121003</v>
      </c>
      <c r="B62">
        <v>341001</v>
      </c>
      <c r="C62" t="s">
        <v>134</v>
      </c>
    </row>
    <row r="63" spans="1:3" x14ac:dyDescent="0.3">
      <c r="A63">
        <v>121003</v>
      </c>
      <c r="B63">
        <v>332715</v>
      </c>
      <c r="C63" t="s">
        <v>134</v>
      </c>
    </row>
    <row r="64" spans="1:3" x14ac:dyDescent="0.3">
      <c r="A64">
        <v>121003</v>
      </c>
      <c r="B64">
        <v>302031</v>
      </c>
      <c r="C64" t="s">
        <v>134</v>
      </c>
    </row>
    <row r="65" spans="1:3" x14ac:dyDescent="0.3">
      <c r="A65">
        <v>121003</v>
      </c>
      <c r="B65">
        <v>335001</v>
      </c>
      <c r="C65" t="s">
        <v>134</v>
      </c>
    </row>
    <row r="66" spans="1:3" x14ac:dyDescent="0.3">
      <c r="A66">
        <v>121003</v>
      </c>
      <c r="B66">
        <v>334004</v>
      </c>
      <c r="C66" t="s">
        <v>134</v>
      </c>
    </row>
    <row r="67" spans="1:3" x14ac:dyDescent="0.3">
      <c r="A67">
        <v>121003</v>
      </c>
      <c r="B67">
        <v>321001</v>
      </c>
      <c r="C67" t="s">
        <v>134</v>
      </c>
    </row>
    <row r="68" spans="1:3" x14ac:dyDescent="0.3">
      <c r="A68">
        <v>121003</v>
      </c>
      <c r="B68">
        <v>324001</v>
      </c>
      <c r="C68" t="s">
        <v>134</v>
      </c>
    </row>
    <row r="69" spans="1:3" x14ac:dyDescent="0.3">
      <c r="A69">
        <v>121003</v>
      </c>
      <c r="B69">
        <v>321608</v>
      </c>
      <c r="C69" t="s">
        <v>134</v>
      </c>
    </row>
    <row r="70" spans="1:3" x14ac:dyDescent="0.3">
      <c r="A70">
        <v>121003</v>
      </c>
      <c r="B70">
        <v>302002</v>
      </c>
      <c r="C70" t="s">
        <v>134</v>
      </c>
    </row>
    <row r="71" spans="1:3" x14ac:dyDescent="0.3">
      <c r="A71">
        <v>121003</v>
      </c>
      <c r="B71">
        <v>311011</v>
      </c>
      <c r="C71" t="s">
        <v>134</v>
      </c>
    </row>
    <row r="72" spans="1:3" x14ac:dyDescent="0.3">
      <c r="A72">
        <v>121003</v>
      </c>
      <c r="B72">
        <v>306302</v>
      </c>
      <c r="C72" t="s">
        <v>134</v>
      </c>
    </row>
    <row r="73" spans="1:3" x14ac:dyDescent="0.3">
      <c r="A73">
        <v>121003</v>
      </c>
      <c r="B73">
        <v>313001</v>
      </c>
      <c r="C73" t="s">
        <v>134</v>
      </c>
    </row>
    <row r="74" spans="1:3" x14ac:dyDescent="0.3">
      <c r="A74">
        <v>121003</v>
      </c>
      <c r="B74">
        <v>302002</v>
      </c>
      <c r="C74" t="s">
        <v>134</v>
      </c>
    </row>
    <row r="75" spans="1:3" x14ac:dyDescent="0.3">
      <c r="A75">
        <v>121003</v>
      </c>
      <c r="B75">
        <v>322255</v>
      </c>
      <c r="C75" t="s">
        <v>134</v>
      </c>
    </row>
    <row r="76" spans="1:3" x14ac:dyDescent="0.3">
      <c r="A76">
        <v>121003</v>
      </c>
      <c r="B76">
        <v>302017</v>
      </c>
      <c r="C76" t="s">
        <v>134</v>
      </c>
    </row>
    <row r="77" spans="1:3" x14ac:dyDescent="0.3">
      <c r="A77">
        <v>121003</v>
      </c>
      <c r="B77">
        <v>302017</v>
      </c>
      <c r="C77" t="s">
        <v>134</v>
      </c>
    </row>
    <row r="78" spans="1:3" x14ac:dyDescent="0.3">
      <c r="A78">
        <v>121003</v>
      </c>
      <c r="B78">
        <v>335512</v>
      </c>
      <c r="C78" t="s">
        <v>134</v>
      </c>
    </row>
    <row r="79" spans="1:3" x14ac:dyDescent="0.3">
      <c r="A79">
        <v>121003</v>
      </c>
      <c r="B79">
        <v>313001</v>
      </c>
      <c r="C79" t="s">
        <v>134</v>
      </c>
    </row>
    <row r="80" spans="1:3" x14ac:dyDescent="0.3">
      <c r="A80">
        <v>121003</v>
      </c>
      <c r="B80">
        <v>313001</v>
      </c>
      <c r="C80" t="s">
        <v>134</v>
      </c>
    </row>
    <row r="81" spans="1:3" x14ac:dyDescent="0.3">
      <c r="A81">
        <v>121003</v>
      </c>
      <c r="B81">
        <v>307026</v>
      </c>
      <c r="C81" t="s">
        <v>134</v>
      </c>
    </row>
    <row r="82" spans="1:3" x14ac:dyDescent="0.3">
      <c r="A82">
        <v>121003</v>
      </c>
      <c r="B82">
        <v>327025</v>
      </c>
      <c r="C82" t="s">
        <v>134</v>
      </c>
    </row>
    <row r="83" spans="1:3" x14ac:dyDescent="0.3">
      <c r="A83">
        <v>121003</v>
      </c>
      <c r="B83">
        <v>313333</v>
      </c>
      <c r="C83" t="s">
        <v>134</v>
      </c>
    </row>
    <row r="84" spans="1:3" x14ac:dyDescent="0.3">
      <c r="A84">
        <v>121003</v>
      </c>
      <c r="B84">
        <v>313001</v>
      </c>
      <c r="C84" t="s">
        <v>134</v>
      </c>
    </row>
    <row r="85" spans="1:3" x14ac:dyDescent="0.3">
      <c r="A85">
        <v>121003</v>
      </c>
      <c r="B85">
        <v>342008</v>
      </c>
      <c r="C85" t="s">
        <v>134</v>
      </c>
    </row>
    <row r="86" spans="1:3" x14ac:dyDescent="0.3">
      <c r="A86">
        <v>121003</v>
      </c>
      <c r="B86">
        <v>314401</v>
      </c>
      <c r="C86" t="s">
        <v>134</v>
      </c>
    </row>
    <row r="87" spans="1:3" x14ac:dyDescent="0.3">
      <c r="A87">
        <v>121003</v>
      </c>
      <c r="B87">
        <v>342301</v>
      </c>
      <c r="C87" t="s">
        <v>134</v>
      </c>
    </row>
    <row r="88" spans="1:3" x14ac:dyDescent="0.3">
      <c r="A88">
        <v>121003</v>
      </c>
      <c r="B88">
        <v>313003</v>
      </c>
      <c r="C88" t="s">
        <v>134</v>
      </c>
    </row>
    <row r="89" spans="1:3" x14ac:dyDescent="0.3">
      <c r="A89">
        <v>121003</v>
      </c>
      <c r="B89">
        <v>173212</v>
      </c>
      <c r="C89" t="s">
        <v>135</v>
      </c>
    </row>
    <row r="90" spans="1:3" x14ac:dyDescent="0.3">
      <c r="A90">
        <v>121003</v>
      </c>
      <c r="B90">
        <v>174101</v>
      </c>
      <c r="C90" t="s">
        <v>135</v>
      </c>
    </row>
    <row r="91" spans="1:3" x14ac:dyDescent="0.3">
      <c r="A91">
        <v>121003</v>
      </c>
      <c r="B91">
        <v>173213</v>
      </c>
      <c r="C91" t="s">
        <v>135</v>
      </c>
    </row>
    <row r="92" spans="1:3" x14ac:dyDescent="0.3">
      <c r="A92">
        <v>121003</v>
      </c>
      <c r="B92">
        <v>302017</v>
      </c>
      <c r="C92" t="s">
        <v>134</v>
      </c>
    </row>
    <row r="93" spans="1:3" x14ac:dyDescent="0.3">
      <c r="A93">
        <v>121003</v>
      </c>
      <c r="B93">
        <v>322201</v>
      </c>
      <c r="C93" t="s">
        <v>134</v>
      </c>
    </row>
    <row r="94" spans="1:3" x14ac:dyDescent="0.3">
      <c r="A94">
        <v>121003</v>
      </c>
      <c r="B94">
        <v>314001</v>
      </c>
      <c r="C94" t="s">
        <v>134</v>
      </c>
    </row>
    <row r="95" spans="1:3" x14ac:dyDescent="0.3">
      <c r="A95">
        <v>121003</v>
      </c>
      <c r="B95">
        <v>331022</v>
      </c>
      <c r="C95" t="s">
        <v>134</v>
      </c>
    </row>
    <row r="96" spans="1:3" x14ac:dyDescent="0.3">
      <c r="A96">
        <v>121003</v>
      </c>
      <c r="B96">
        <v>305801</v>
      </c>
      <c r="C96" t="s">
        <v>134</v>
      </c>
    </row>
    <row r="97" spans="1:3" x14ac:dyDescent="0.3">
      <c r="A97">
        <v>121003</v>
      </c>
      <c r="B97">
        <v>335502</v>
      </c>
      <c r="C97" t="s">
        <v>134</v>
      </c>
    </row>
    <row r="98" spans="1:3" x14ac:dyDescent="0.3">
      <c r="A98">
        <v>121003</v>
      </c>
      <c r="B98">
        <v>306116</v>
      </c>
      <c r="C98" t="s">
        <v>134</v>
      </c>
    </row>
    <row r="99" spans="1:3" x14ac:dyDescent="0.3">
      <c r="A99">
        <v>121003</v>
      </c>
      <c r="B99">
        <v>311001</v>
      </c>
      <c r="C99" t="s">
        <v>134</v>
      </c>
    </row>
    <row r="100" spans="1:3" x14ac:dyDescent="0.3">
      <c r="A100">
        <v>121003</v>
      </c>
      <c r="B100">
        <v>302019</v>
      </c>
      <c r="C100" t="s">
        <v>134</v>
      </c>
    </row>
    <row r="101" spans="1:3" x14ac:dyDescent="0.3">
      <c r="A101">
        <v>121003</v>
      </c>
      <c r="B101">
        <v>302039</v>
      </c>
      <c r="C101" t="s">
        <v>134</v>
      </c>
    </row>
    <row r="102" spans="1:3" x14ac:dyDescent="0.3">
      <c r="A102">
        <v>121003</v>
      </c>
      <c r="B102">
        <v>335803</v>
      </c>
      <c r="C102" t="s">
        <v>134</v>
      </c>
    </row>
    <row r="103" spans="1:3" x14ac:dyDescent="0.3">
      <c r="A103">
        <v>121003</v>
      </c>
      <c r="B103">
        <v>335001</v>
      </c>
      <c r="C103" t="s">
        <v>134</v>
      </c>
    </row>
    <row r="104" spans="1:3" x14ac:dyDescent="0.3">
      <c r="A104">
        <v>121003</v>
      </c>
      <c r="B104">
        <v>175101</v>
      </c>
      <c r="C104" t="s">
        <v>135</v>
      </c>
    </row>
    <row r="105" spans="1:3" x14ac:dyDescent="0.3">
      <c r="A105">
        <v>121003</v>
      </c>
      <c r="B105">
        <v>303903</v>
      </c>
      <c r="C105" t="s">
        <v>134</v>
      </c>
    </row>
    <row r="106" spans="1:3" x14ac:dyDescent="0.3">
      <c r="A106">
        <v>121003</v>
      </c>
      <c r="B106">
        <v>342012</v>
      </c>
      <c r="C106" t="s">
        <v>134</v>
      </c>
    </row>
    <row r="107" spans="1:3" x14ac:dyDescent="0.3">
      <c r="A107">
        <v>121003</v>
      </c>
      <c r="B107">
        <v>334001</v>
      </c>
      <c r="C107" t="s">
        <v>134</v>
      </c>
    </row>
    <row r="108" spans="1:3" x14ac:dyDescent="0.3">
      <c r="A108">
        <v>121003</v>
      </c>
      <c r="B108">
        <v>302031</v>
      </c>
      <c r="C108" t="s">
        <v>134</v>
      </c>
    </row>
    <row r="109" spans="1:3" x14ac:dyDescent="0.3">
      <c r="A109">
        <v>121003</v>
      </c>
      <c r="B109">
        <v>302012</v>
      </c>
      <c r="C109" t="s">
        <v>134</v>
      </c>
    </row>
    <row r="110" spans="1:3" x14ac:dyDescent="0.3">
      <c r="A110">
        <v>121003</v>
      </c>
      <c r="B110">
        <v>342014</v>
      </c>
      <c r="C110" t="s">
        <v>134</v>
      </c>
    </row>
    <row r="111" spans="1:3" x14ac:dyDescent="0.3">
      <c r="A111">
        <v>121003</v>
      </c>
      <c r="B111">
        <v>324005</v>
      </c>
      <c r="C111" t="s">
        <v>134</v>
      </c>
    </row>
    <row r="112" spans="1:3" x14ac:dyDescent="0.3">
      <c r="A112">
        <v>121003</v>
      </c>
      <c r="B112">
        <v>302001</v>
      </c>
      <c r="C112" t="s">
        <v>134</v>
      </c>
    </row>
    <row r="113" spans="1:3" x14ac:dyDescent="0.3">
      <c r="A113">
        <v>121003</v>
      </c>
      <c r="B113">
        <v>302004</v>
      </c>
      <c r="C113" t="s">
        <v>134</v>
      </c>
    </row>
    <row r="114" spans="1:3" x14ac:dyDescent="0.3">
      <c r="A114">
        <v>121003</v>
      </c>
      <c r="B114">
        <v>302018</v>
      </c>
      <c r="C114" t="s">
        <v>134</v>
      </c>
    </row>
    <row r="115" spans="1:3" x14ac:dyDescent="0.3">
      <c r="A115">
        <v>121003</v>
      </c>
      <c r="B115">
        <v>302017</v>
      </c>
      <c r="C115" t="s">
        <v>134</v>
      </c>
    </row>
    <row r="116" spans="1:3" x14ac:dyDescent="0.3">
      <c r="A116">
        <v>121003</v>
      </c>
      <c r="B116">
        <v>324008</v>
      </c>
      <c r="C116" t="s">
        <v>134</v>
      </c>
    </row>
    <row r="117" spans="1:3" x14ac:dyDescent="0.3">
      <c r="A117">
        <v>121003</v>
      </c>
      <c r="B117">
        <v>302020</v>
      </c>
      <c r="C117" t="s">
        <v>134</v>
      </c>
    </row>
    <row r="118" spans="1:3" x14ac:dyDescent="0.3">
      <c r="A118">
        <v>121003</v>
      </c>
      <c r="B118">
        <v>302018</v>
      </c>
      <c r="C118" t="s">
        <v>134</v>
      </c>
    </row>
    <row r="119" spans="1:3" x14ac:dyDescent="0.3">
      <c r="A119">
        <v>121003</v>
      </c>
      <c r="B119">
        <v>302017</v>
      </c>
      <c r="C119" t="s">
        <v>134</v>
      </c>
    </row>
    <row r="120" spans="1:3" x14ac:dyDescent="0.3">
      <c r="A120">
        <v>121003</v>
      </c>
      <c r="B120">
        <v>302012</v>
      </c>
      <c r="C120" t="s">
        <v>134</v>
      </c>
    </row>
    <row r="121" spans="1:3" x14ac:dyDescent="0.3">
      <c r="A121">
        <v>121003</v>
      </c>
      <c r="B121">
        <v>325207</v>
      </c>
      <c r="C121" t="s">
        <v>134</v>
      </c>
    </row>
    <row r="122" spans="1:3" x14ac:dyDescent="0.3">
      <c r="A122">
        <v>121003</v>
      </c>
      <c r="B122">
        <v>303702</v>
      </c>
      <c r="C122" t="s">
        <v>134</v>
      </c>
    </row>
    <row r="123" spans="1:3" x14ac:dyDescent="0.3">
      <c r="A123">
        <v>121003</v>
      </c>
      <c r="B123">
        <v>313301</v>
      </c>
      <c r="C123" t="s">
        <v>134</v>
      </c>
    </row>
    <row r="124" spans="1:3" x14ac:dyDescent="0.3">
      <c r="A124">
        <v>121003</v>
      </c>
      <c r="B124">
        <v>173212</v>
      </c>
      <c r="C124" t="s">
        <v>135</v>
      </c>
    </row>
    <row r="125" spans="1:3" x14ac:dyDescent="0.3">
      <c r="A125">
        <v>121003</v>
      </c>
      <c r="B125">
        <v>302020</v>
      </c>
      <c r="C125" t="s">
        <v>134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9265-8316-46C1-B86A-A23501B7CEA6}">
  <dimension ref="A1:H125"/>
  <sheetViews>
    <sheetView workbookViewId="0">
      <selection activeCell="I6" sqref="I6"/>
    </sheetView>
  </sheetViews>
  <sheetFormatPr defaultRowHeight="14.4" x14ac:dyDescent="0.3"/>
  <cols>
    <col min="1" max="1" width="14.109375" style="2" bestFit="1" customWidth="1"/>
    <col min="2" max="2" width="13.6640625" style="2" bestFit="1" customWidth="1"/>
    <col min="3" max="3" width="16.77734375" bestFit="1" customWidth="1"/>
    <col min="4" max="4" width="20.21875" bestFit="1" customWidth="1"/>
    <col min="5" max="5" width="18.6640625" bestFit="1" customWidth="1"/>
    <col min="6" max="6" width="7.44140625" bestFit="1" customWidth="1"/>
    <col min="7" max="7" width="22.109375" bestFit="1" customWidth="1"/>
    <col min="8" max="8" width="20" bestFit="1" customWidth="1"/>
  </cols>
  <sheetData>
    <row r="1" spans="1:8" s="5" customFormat="1" x14ac:dyDescent="0.3">
      <c r="A1" s="6" t="s">
        <v>137</v>
      </c>
      <c r="B1" s="6" t="s">
        <v>138</v>
      </c>
      <c r="C1" s="5" t="s">
        <v>139</v>
      </c>
      <c r="D1" s="5" t="s">
        <v>130</v>
      </c>
      <c r="E1" s="5" t="s">
        <v>131</v>
      </c>
      <c r="F1" s="5" t="s">
        <v>132</v>
      </c>
      <c r="G1" s="5" t="s">
        <v>140</v>
      </c>
      <c r="H1" s="5" t="s">
        <v>141</v>
      </c>
    </row>
    <row r="2" spans="1:8" hidden="1" x14ac:dyDescent="0.3">
      <c r="A2" s="2">
        <v>1091117222124</v>
      </c>
      <c r="B2" s="2">
        <v>2001806232</v>
      </c>
      <c r="C2">
        <v>1.3</v>
      </c>
      <c r="D2">
        <v>121003</v>
      </c>
      <c r="E2">
        <v>507101</v>
      </c>
      <c r="F2" t="s">
        <v>133</v>
      </c>
      <c r="G2" t="s">
        <v>142</v>
      </c>
      <c r="H2">
        <v>135</v>
      </c>
    </row>
    <row r="3" spans="1:8" x14ac:dyDescent="0.3">
      <c r="A3" s="2">
        <v>1091117222194</v>
      </c>
      <c r="B3" s="2">
        <v>2001806273</v>
      </c>
      <c r="C3">
        <v>1</v>
      </c>
      <c r="D3">
        <v>121003</v>
      </c>
      <c r="E3">
        <v>486886</v>
      </c>
      <c r="F3" t="s">
        <v>133</v>
      </c>
      <c r="G3" t="s">
        <v>142</v>
      </c>
      <c r="H3">
        <v>90.2</v>
      </c>
    </row>
    <row r="4" spans="1:8" hidden="1" x14ac:dyDescent="0.3">
      <c r="A4" s="2">
        <v>1091117222931</v>
      </c>
      <c r="B4" s="2">
        <v>2001806408</v>
      </c>
      <c r="C4">
        <v>2.5</v>
      </c>
      <c r="D4">
        <v>121003</v>
      </c>
      <c r="E4">
        <v>532484</v>
      </c>
      <c r="F4" t="s">
        <v>133</v>
      </c>
      <c r="G4" t="s">
        <v>142</v>
      </c>
      <c r="H4">
        <v>224.6</v>
      </c>
    </row>
    <row r="5" spans="1:8" hidden="1" x14ac:dyDescent="0.3">
      <c r="A5" s="2">
        <v>1091117223244</v>
      </c>
      <c r="B5" s="2">
        <v>2001806458</v>
      </c>
      <c r="C5">
        <v>1</v>
      </c>
      <c r="D5">
        <v>121003</v>
      </c>
      <c r="E5">
        <v>143001</v>
      </c>
      <c r="F5" t="s">
        <v>134</v>
      </c>
      <c r="G5" t="s">
        <v>142</v>
      </c>
      <c r="H5">
        <v>61.3</v>
      </c>
    </row>
    <row r="6" spans="1:8" hidden="1" x14ac:dyDescent="0.3">
      <c r="A6" s="2">
        <v>1091117229345</v>
      </c>
      <c r="B6" s="2">
        <v>2001807012</v>
      </c>
      <c r="C6">
        <v>0.15</v>
      </c>
      <c r="D6">
        <v>121003</v>
      </c>
      <c r="E6">
        <v>515591</v>
      </c>
      <c r="F6" t="s">
        <v>133</v>
      </c>
      <c r="G6" t="s">
        <v>142</v>
      </c>
      <c r="H6">
        <v>45.4</v>
      </c>
    </row>
    <row r="7" spans="1:8" hidden="1" x14ac:dyDescent="0.3">
      <c r="A7" s="2">
        <v>1091117229555</v>
      </c>
      <c r="B7" s="2">
        <v>2001806686</v>
      </c>
      <c r="C7">
        <v>0.15</v>
      </c>
      <c r="D7">
        <v>121003</v>
      </c>
      <c r="E7">
        <v>326502</v>
      </c>
      <c r="F7" t="s">
        <v>133</v>
      </c>
      <c r="G7" t="s">
        <v>142</v>
      </c>
      <c r="H7">
        <v>45.4</v>
      </c>
    </row>
    <row r="8" spans="1:8" hidden="1" x14ac:dyDescent="0.3">
      <c r="A8" s="2">
        <v>1091117229776</v>
      </c>
      <c r="B8" s="2">
        <v>2001806885</v>
      </c>
      <c r="C8">
        <v>1</v>
      </c>
      <c r="D8">
        <v>121003</v>
      </c>
      <c r="E8">
        <v>208019</v>
      </c>
      <c r="F8" t="s">
        <v>134</v>
      </c>
      <c r="G8" t="s">
        <v>142</v>
      </c>
      <c r="H8">
        <v>61.3</v>
      </c>
    </row>
    <row r="9" spans="1:8" hidden="1" x14ac:dyDescent="0.3">
      <c r="A9" s="2">
        <v>1091117323112</v>
      </c>
      <c r="B9" s="2">
        <v>2001807058</v>
      </c>
      <c r="C9">
        <v>1.1499999999999999</v>
      </c>
      <c r="D9">
        <v>121003</v>
      </c>
      <c r="E9">
        <v>140301</v>
      </c>
      <c r="F9" t="s">
        <v>134</v>
      </c>
      <c r="G9" t="s">
        <v>142</v>
      </c>
      <c r="H9">
        <v>89.6</v>
      </c>
    </row>
    <row r="10" spans="1:8" hidden="1" x14ac:dyDescent="0.3">
      <c r="A10" s="2">
        <v>1091117323812</v>
      </c>
      <c r="B10" s="2">
        <v>2001807186</v>
      </c>
      <c r="C10">
        <v>0.5</v>
      </c>
      <c r="D10">
        <v>121003</v>
      </c>
      <c r="E10">
        <v>396001</v>
      </c>
      <c r="F10" t="s">
        <v>133</v>
      </c>
      <c r="G10" t="s">
        <v>142</v>
      </c>
      <c r="H10">
        <v>45.4</v>
      </c>
    </row>
    <row r="11" spans="1:8" hidden="1" x14ac:dyDescent="0.3">
      <c r="A11" s="2">
        <v>1091117324206</v>
      </c>
      <c r="B11" s="2">
        <v>2001807290</v>
      </c>
      <c r="C11">
        <v>0.5</v>
      </c>
      <c r="D11">
        <v>121003</v>
      </c>
      <c r="E11">
        <v>711106</v>
      </c>
      <c r="F11" t="s">
        <v>133</v>
      </c>
      <c r="G11" t="s">
        <v>142</v>
      </c>
      <c r="H11">
        <v>45.4</v>
      </c>
    </row>
    <row r="12" spans="1:8" hidden="1" x14ac:dyDescent="0.3">
      <c r="A12" s="2">
        <v>1091117326612</v>
      </c>
      <c r="B12" s="2">
        <v>2001807814</v>
      </c>
      <c r="C12">
        <v>0.79</v>
      </c>
      <c r="D12">
        <v>121003</v>
      </c>
      <c r="E12">
        <v>284001</v>
      </c>
      <c r="F12" t="s">
        <v>134</v>
      </c>
      <c r="G12" t="s">
        <v>142</v>
      </c>
      <c r="H12">
        <v>61.3</v>
      </c>
    </row>
    <row r="13" spans="1:8" x14ac:dyDescent="0.3">
      <c r="A13" s="2">
        <v>1091117327172</v>
      </c>
      <c r="B13" s="2">
        <v>2001807931</v>
      </c>
      <c r="C13">
        <v>0.72</v>
      </c>
      <c r="D13">
        <v>121003</v>
      </c>
      <c r="E13">
        <v>441601</v>
      </c>
      <c r="F13" t="s">
        <v>133</v>
      </c>
      <c r="G13" t="s">
        <v>142</v>
      </c>
      <c r="H13">
        <v>90.2</v>
      </c>
    </row>
    <row r="14" spans="1:8" hidden="1" x14ac:dyDescent="0.3">
      <c r="A14" s="2">
        <v>1091117327275</v>
      </c>
      <c r="B14" s="2">
        <v>2001807956</v>
      </c>
      <c r="C14">
        <v>1.08</v>
      </c>
      <c r="D14">
        <v>121003</v>
      </c>
      <c r="E14">
        <v>248006</v>
      </c>
      <c r="F14" t="s">
        <v>134</v>
      </c>
      <c r="G14" t="s">
        <v>142</v>
      </c>
      <c r="H14">
        <v>89.6</v>
      </c>
    </row>
    <row r="15" spans="1:8" x14ac:dyDescent="0.3">
      <c r="A15" s="2">
        <v>1091117327312</v>
      </c>
      <c r="B15" s="2">
        <v>2001807960</v>
      </c>
      <c r="C15">
        <v>1</v>
      </c>
      <c r="D15">
        <v>121003</v>
      </c>
      <c r="E15">
        <v>485001</v>
      </c>
      <c r="F15" t="s">
        <v>133</v>
      </c>
      <c r="G15" t="s">
        <v>142</v>
      </c>
      <c r="H15">
        <v>90.2</v>
      </c>
    </row>
    <row r="16" spans="1:8" hidden="1" x14ac:dyDescent="0.3">
      <c r="A16" s="2">
        <v>1091117327695</v>
      </c>
      <c r="B16" s="2">
        <v>2001807930</v>
      </c>
      <c r="C16">
        <v>0.15</v>
      </c>
      <c r="D16">
        <v>121003</v>
      </c>
      <c r="E16">
        <v>845438</v>
      </c>
      <c r="F16" t="s">
        <v>133</v>
      </c>
      <c r="G16" t="s">
        <v>142</v>
      </c>
      <c r="H16">
        <v>45.4</v>
      </c>
    </row>
    <row r="17" spans="1:8" hidden="1" x14ac:dyDescent="0.3">
      <c r="A17" s="2">
        <v>1091117435005</v>
      </c>
      <c r="B17" s="2">
        <v>2001808102</v>
      </c>
      <c r="C17">
        <v>1.28</v>
      </c>
      <c r="D17">
        <v>121003</v>
      </c>
      <c r="E17">
        <v>463106</v>
      </c>
      <c r="F17" t="s">
        <v>133</v>
      </c>
      <c r="G17" t="s">
        <v>142</v>
      </c>
      <c r="H17">
        <v>135</v>
      </c>
    </row>
    <row r="18" spans="1:8" hidden="1" x14ac:dyDescent="0.3">
      <c r="A18" s="2">
        <v>1091117435134</v>
      </c>
      <c r="B18" s="2">
        <v>2001808118</v>
      </c>
      <c r="C18">
        <v>0.5</v>
      </c>
      <c r="D18">
        <v>121003</v>
      </c>
      <c r="E18">
        <v>140301</v>
      </c>
      <c r="F18" t="s">
        <v>134</v>
      </c>
      <c r="G18" t="s">
        <v>142</v>
      </c>
      <c r="H18">
        <v>33</v>
      </c>
    </row>
    <row r="19" spans="1:8" x14ac:dyDescent="0.3">
      <c r="A19" s="2">
        <v>1091117435370</v>
      </c>
      <c r="B19" s="2">
        <v>2001808207</v>
      </c>
      <c r="C19">
        <v>0.79</v>
      </c>
      <c r="D19">
        <v>121003</v>
      </c>
      <c r="E19">
        <v>495671</v>
      </c>
      <c r="F19" t="s">
        <v>133</v>
      </c>
      <c r="G19" t="s">
        <v>142</v>
      </c>
      <c r="H19">
        <v>90.2</v>
      </c>
    </row>
    <row r="20" spans="1:8" hidden="1" x14ac:dyDescent="0.3">
      <c r="A20" s="2">
        <v>1091117435661</v>
      </c>
      <c r="B20" s="2">
        <v>2001808295</v>
      </c>
      <c r="C20">
        <v>0.2</v>
      </c>
      <c r="D20">
        <v>121003</v>
      </c>
      <c r="E20">
        <v>673002</v>
      </c>
      <c r="F20" t="s">
        <v>135</v>
      </c>
      <c r="G20" t="s">
        <v>143</v>
      </c>
      <c r="H20">
        <v>107.3</v>
      </c>
    </row>
    <row r="21" spans="1:8" hidden="1" x14ac:dyDescent="0.3">
      <c r="A21" s="2">
        <v>1091117436383</v>
      </c>
      <c r="B21" s="2">
        <v>2001808507</v>
      </c>
      <c r="C21">
        <v>0.79</v>
      </c>
      <c r="D21">
        <v>121003</v>
      </c>
      <c r="E21">
        <v>208002</v>
      </c>
      <c r="F21" t="s">
        <v>134</v>
      </c>
      <c r="G21" t="s">
        <v>142</v>
      </c>
      <c r="H21">
        <v>61.3</v>
      </c>
    </row>
    <row r="22" spans="1:8" x14ac:dyDescent="0.3">
      <c r="A22" s="2">
        <v>1091117436464</v>
      </c>
      <c r="B22" s="2">
        <v>2001808542</v>
      </c>
      <c r="C22">
        <v>0.86</v>
      </c>
      <c r="D22">
        <v>121003</v>
      </c>
      <c r="E22">
        <v>416010</v>
      </c>
      <c r="F22" t="s">
        <v>133</v>
      </c>
      <c r="G22" t="s">
        <v>142</v>
      </c>
      <c r="H22">
        <v>90.2</v>
      </c>
    </row>
    <row r="23" spans="1:8" hidden="1" x14ac:dyDescent="0.3">
      <c r="A23" s="2">
        <v>1091117437050</v>
      </c>
      <c r="B23" s="2">
        <v>2001808675</v>
      </c>
      <c r="C23">
        <v>1.2</v>
      </c>
      <c r="D23">
        <v>121003</v>
      </c>
      <c r="E23">
        <v>226010</v>
      </c>
      <c r="F23" t="s">
        <v>134</v>
      </c>
      <c r="G23" t="s">
        <v>142</v>
      </c>
      <c r="H23">
        <v>89.6</v>
      </c>
    </row>
    <row r="24" spans="1:8" hidden="1" x14ac:dyDescent="0.3">
      <c r="A24" s="2">
        <v>1091117327496</v>
      </c>
      <c r="B24" s="2">
        <v>2001807976</v>
      </c>
      <c r="C24">
        <v>0.7</v>
      </c>
      <c r="D24">
        <v>121003</v>
      </c>
      <c r="E24">
        <v>400705</v>
      </c>
      <c r="F24" t="s">
        <v>133</v>
      </c>
      <c r="G24" t="s">
        <v>143</v>
      </c>
      <c r="H24">
        <v>172.8</v>
      </c>
    </row>
    <row r="25" spans="1:8" hidden="1" x14ac:dyDescent="0.3">
      <c r="A25" s="2">
        <v>1091118547832</v>
      </c>
      <c r="B25" s="2">
        <v>2001812838</v>
      </c>
      <c r="C25">
        <v>0.6</v>
      </c>
      <c r="D25">
        <v>121003</v>
      </c>
      <c r="E25">
        <v>262405</v>
      </c>
      <c r="F25" t="s">
        <v>134</v>
      </c>
      <c r="G25" t="s">
        <v>143</v>
      </c>
      <c r="H25">
        <v>102.3</v>
      </c>
    </row>
    <row r="26" spans="1:8" hidden="1" x14ac:dyDescent="0.3">
      <c r="A26" s="2">
        <v>1091119398844</v>
      </c>
      <c r="B26" s="2">
        <v>2001816684</v>
      </c>
      <c r="C26">
        <v>0.99</v>
      </c>
      <c r="D26">
        <v>121003</v>
      </c>
      <c r="E26">
        <v>394210</v>
      </c>
      <c r="F26" t="s">
        <v>133</v>
      </c>
      <c r="G26" t="s">
        <v>143</v>
      </c>
      <c r="H26">
        <v>172.8</v>
      </c>
    </row>
    <row r="27" spans="1:8" hidden="1" x14ac:dyDescent="0.3">
      <c r="A27" s="2">
        <v>1091119630264</v>
      </c>
      <c r="B27" s="2">
        <v>2001817160</v>
      </c>
      <c r="C27">
        <v>0.7</v>
      </c>
      <c r="D27">
        <v>121003</v>
      </c>
      <c r="E27">
        <v>411014</v>
      </c>
      <c r="F27" t="s">
        <v>133</v>
      </c>
      <c r="G27" t="s">
        <v>143</v>
      </c>
      <c r="H27">
        <v>172.8</v>
      </c>
    </row>
    <row r="28" spans="1:8" hidden="1" x14ac:dyDescent="0.3">
      <c r="A28" s="2">
        <v>1091120014461</v>
      </c>
      <c r="B28" s="2">
        <v>2001818390</v>
      </c>
      <c r="C28">
        <v>0.8</v>
      </c>
      <c r="D28">
        <v>121003</v>
      </c>
      <c r="E28">
        <v>783301</v>
      </c>
      <c r="F28" t="s">
        <v>135</v>
      </c>
      <c r="G28" t="s">
        <v>143</v>
      </c>
      <c r="H28">
        <v>213.5</v>
      </c>
    </row>
    <row r="29" spans="1:8" hidden="1" x14ac:dyDescent="0.3">
      <c r="A29" s="2">
        <v>1091120959015</v>
      </c>
      <c r="B29" s="2">
        <v>2001821190</v>
      </c>
      <c r="C29">
        <v>1.2</v>
      </c>
      <c r="D29">
        <v>121003</v>
      </c>
      <c r="E29">
        <v>486661</v>
      </c>
      <c r="F29" t="s">
        <v>133</v>
      </c>
      <c r="G29" t="s">
        <v>143</v>
      </c>
      <c r="H29">
        <v>258.89999999999998</v>
      </c>
    </row>
    <row r="30" spans="1:8" hidden="1" x14ac:dyDescent="0.3">
      <c r="A30" s="2">
        <v>1091121485824</v>
      </c>
      <c r="B30" s="2">
        <v>2001817093</v>
      </c>
      <c r="C30">
        <v>1.3</v>
      </c>
      <c r="D30">
        <v>121003</v>
      </c>
      <c r="E30">
        <v>244001</v>
      </c>
      <c r="F30" t="s">
        <v>134</v>
      </c>
      <c r="G30" t="s">
        <v>143</v>
      </c>
      <c r="H30">
        <v>151.1</v>
      </c>
    </row>
    <row r="31" spans="1:8" hidden="1" x14ac:dyDescent="0.3">
      <c r="A31" s="2">
        <v>1091121666133</v>
      </c>
      <c r="B31" s="2">
        <v>2001823564</v>
      </c>
      <c r="C31">
        <v>0.7</v>
      </c>
      <c r="D31">
        <v>121003</v>
      </c>
      <c r="E31">
        <v>492001</v>
      </c>
      <c r="F31" t="s">
        <v>133</v>
      </c>
      <c r="G31" t="s">
        <v>143</v>
      </c>
      <c r="H31">
        <v>172.8</v>
      </c>
    </row>
    <row r="32" spans="1:8" hidden="1" x14ac:dyDescent="0.3">
      <c r="A32" s="2">
        <v>1091121981575</v>
      </c>
      <c r="B32" s="2">
        <v>2001825261</v>
      </c>
      <c r="C32">
        <v>1.6</v>
      </c>
      <c r="D32">
        <v>121003</v>
      </c>
      <c r="E32">
        <v>517128</v>
      </c>
      <c r="F32" t="s">
        <v>133</v>
      </c>
      <c r="G32" t="s">
        <v>143</v>
      </c>
      <c r="H32">
        <v>345</v>
      </c>
    </row>
    <row r="33" spans="1:8" hidden="1" x14ac:dyDescent="0.3">
      <c r="A33" s="2">
        <v>1091117957780</v>
      </c>
      <c r="B33" s="2">
        <v>2001811192</v>
      </c>
      <c r="C33">
        <v>1.1299999999999999</v>
      </c>
      <c r="D33">
        <v>121003</v>
      </c>
      <c r="E33">
        <v>562110</v>
      </c>
      <c r="F33" t="s">
        <v>133</v>
      </c>
      <c r="G33" t="s">
        <v>143</v>
      </c>
      <c r="H33">
        <v>258.89999999999998</v>
      </c>
    </row>
    <row r="34" spans="1:8" hidden="1" x14ac:dyDescent="0.3">
      <c r="A34" s="2">
        <v>1091121482593</v>
      </c>
      <c r="B34" s="2">
        <v>2001809917</v>
      </c>
      <c r="C34">
        <v>0.6</v>
      </c>
      <c r="D34">
        <v>121003</v>
      </c>
      <c r="E34">
        <v>831006</v>
      </c>
      <c r="F34" t="s">
        <v>133</v>
      </c>
      <c r="G34" t="s">
        <v>143</v>
      </c>
      <c r="H34">
        <v>172.8</v>
      </c>
    </row>
    <row r="35" spans="1:8" hidden="1" x14ac:dyDescent="0.3">
      <c r="A35" s="2">
        <v>1091117221940</v>
      </c>
      <c r="B35" s="2">
        <v>2001806210</v>
      </c>
      <c r="C35">
        <v>2.92</v>
      </c>
      <c r="D35">
        <v>121003</v>
      </c>
      <c r="E35">
        <v>140604</v>
      </c>
      <c r="F35" t="s">
        <v>134</v>
      </c>
      <c r="G35" t="s">
        <v>142</v>
      </c>
      <c r="H35">
        <v>174.5</v>
      </c>
    </row>
    <row r="36" spans="1:8" x14ac:dyDescent="0.3">
      <c r="A36" s="2">
        <v>1091117222065</v>
      </c>
      <c r="B36" s="2">
        <v>2001806226</v>
      </c>
      <c r="C36">
        <v>0.68</v>
      </c>
      <c r="D36">
        <v>121003</v>
      </c>
      <c r="E36">
        <v>723146</v>
      </c>
      <c r="F36" t="s">
        <v>133</v>
      </c>
      <c r="G36" t="s">
        <v>142</v>
      </c>
      <c r="H36">
        <v>90.2</v>
      </c>
    </row>
    <row r="37" spans="1:8" x14ac:dyDescent="0.3">
      <c r="A37" s="2">
        <v>1091117222080</v>
      </c>
      <c r="B37" s="2">
        <v>2001806229</v>
      </c>
      <c r="C37">
        <v>0.71</v>
      </c>
      <c r="D37">
        <v>121003</v>
      </c>
      <c r="E37">
        <v>421204</v>
      </c>
      <c r="F37" t="s">
        <v>133</v>
      </c>
      <c r="G37" t="s">
        <v>142</v>
      </c>
      <c r="H37">
        <v>90.2</v>
      </c>
    </row>
    <row r="38" spans="1:8" hidden="1" x14ac:dyDescent="0.3">
      <c r="A38" s="2">
        <v>1091117222135</v>
      </c>
      <c r="B38" s="2">
        <v>2001806233</v>
      </c>
      <c r="C38">
        <v>0.78</v>
      </c>
      <c r="D38">
        <v>121003</v>
      </c>
      <c r="E38">
        <v>263139</v>
      </c>
      <c r="F38" t="s">
        <v>134</v>
      </c>
      <c r="G38" t="s">
        <v>142</v>
      </c>
      <c r="H38">
        <v>61.3</v>
      </c>
    </row>
    <row r="39" spans="1:8" hidden="1" x14ac:dyDescent="0.3">
      <c r="A39" s="2">
        <v>1091117222146</v>
      </c>
      <c r="B39" s="2">
        <v>2001806251</v>
      </c>
      <c r="C39">
        <v>1.27</v>
      </c>
      <c r="D39">
        <v>121003</v>
      </c>
      <c r="E39">
        <v>743263</v>
      </c>
      <c r="F39" t="s">
        <v>133</v>
      </c>
      <c r="G39" t="s">
        <v>142</v>
      </c>
      <c r="H39">
        <v>135</v>
      </c>
    </row>
    <row r="40" spans="1:8" x14ac:dyDescent="0.3">
      <c r="A40" s="2">
        <v>1091117222570</v>
      </c>
      <c r="B40" s="2">
        <v>2001806338</v>
      </c>
      <c r="C40">
        <v>0.7</v>
      </c>
      <c r="D40">
        <v>121003</v>
      </c>
      <c r="E40">
        <v>392150</v>
      </c>
      <c r="F40" t="s">
        <v>133</v>
      </c>
      <c r="G40" t="s">
        <v>142</v>
      </c>
      <c r="H40">
        <v>90.2</v>
      </c>
    </row>
    <row r="41" spans="1:8" x14ac:dyDescent="0.3">
      <c r="A41" s="2">
        <v>1091117223211</v>
      </c>
      <c r="B41" s="2">
        <v>2001806446</v>
      </c>
      <c r="C41">
        <v>0.69</v>
      </c>
      <c r="D41">
        <v>121003</v>
      </c>
      <c r="E41">
        <v>382830</v>
      </c>
      <c r="F41" t="s">
        <v>133</v>
      </c>
      <c r="G41" t="s">
        <v>142</v>
      </c>
      <c r="H41">
        <v>90.2</v>
      </c>
    </row>
    <row r="42" spans="1:8" x14ac:dyDescent="0.3">
      <c r="A42" s="2">
        <v>1091117224353</v>
      </c>
      <c r="B42" s="2">
        <v>2001806533</v>
      </c>
      <c r="C42">
        <v>0.68</v>
      </c>
      <c r="D42">
        <v>121003</v>
      </c>
      <c r="E42">
        <v>711303</v>
      </c>
      <c r="F42" t="s">
        <v>133</v>
      </c>
      <c r="G42" t="s">
        <v>142</v>
      </c>
      <c r="H42">
        <v>90.2</v>
      </c>
    </row>
    <row r="43" spans="1:8" hidden="1" x14ac:dyDescent="0.3">
      <c r="A43" s="2">
        <v>1091117224611</v>
      </c>
      <c r="B43" s="2">
        <v>2001806547</v>
      </c>
      <c r="C43">
        <v>1</v>
      </c>
      <c r="D43">
        <v>121003</v>
      </c>
      <c r="E43">
        <v>283102</v>
      </c>
      <c r="F43" t="s">
        <v>134</v>
      </c>
      <c r="G43" t="s">
        <v>142</v>
      </c>
      <c r="H43">
        <v>61.3</v>
      </c>
    </row>
    <row r="44" spans="1:8" hidden="1" x14ac:dyDescent="0.3">
      <c r="A44" s="2">
        <v>1091117224902</v>
      </c>
      <c r="B44" s="2">
        <v>2001806567</v>
      </c>
      <c r="C44">
        <v>1.1599999999999999</v>
      </c>
      <c r="D44">
        <v>121003</v>
      </c>
      <c r="E44">
        <v>370201</v>
      </c>
      <c r="F44" t="s">
        <v>133</v>
      </c>
      <c r="G44" t="s">
        <v>142</v>
      </c>
      <c r="H44">
        <v>135</v>
      </c>
    </row>
    <row r="45" spans="1:8" hidden="1" x14ac:dyDescent="0.3">
      <c r="A45" s="2">
        <v>1091117225016</v>
      </c>
      <c r="B45" s="2">
        <v>2001806575</v>
      </c>
      <c r="C45">
        <v>0.68</v>
      </c>
      <c r="D45">
        <v>121003</v>
      </c>
      <c r="E45">
        <v>248001</v>
      </c>
      <c r="F45" t="s">
        <v>134</v>
      </c>
      <c r="G45" t="s">
        <v>142</v>
      </c>
      <c r="H45">
        <v>61.3</v>
      </c>
    </row>
    <row r="46" spans="1:8" hidden="1" x14ac:dyDescent="0.3">
      <c r="A46" s="2">
        <v>1091117225484</v>
      </c>
      <c r="B46" s="2">
        <v>2001806616</v>
      </c>
      <c r="C46">
        <v>1.08</v>
      </c>
      <c r="D46">
        <v>121003</v>
      </c>
      <c r="E46">
        <v>144001</v>
      </c>
      <c r="F46" t="s">
        <v>134</v>
      </c>
      <c r="G46" t="s">
        <v>142</v>
      </c>
      <c r="H46">
        <v>89.6</v>
      </c>
    </row>
    <row r="47" spans="1:8" x14ac:dyDescent="0.3">
      <c r="A47" s="2">
        <v>1091117226221</v>
      </c>
      <c r="B47" s="2">
        <v>2001806652</v>
      </c>
      <c r="C47">
        <v>0.69</v>
      </c>
      <c r="D47">
        <v>121003</v>
      </c>
      <c r="E47">
        <v>403401</v>
      </c>
      <c r="F47" t="s">
        <v>133</v>
      </c>
      <c r="G47" t="s">
        <v>142</v>
      </c>
      <c r="H47">
        <v>90.2</v>
      </c>
    </row>
    <row r="48" spans="1:8" hidden="1" x14ac:dyDescent="0.3">
      <c r="A48" s="2">
        <v>1091117226674</v>
      </c>
      <c r="B48" s="2">
        <v>2001806733</v>
      </c>
      <c r="C48">
        <v>1.1299999999999999</v>
      </c>
      <c r="D48">
        <v>121003</v>
      </c>
      <c r="E48">
        <v>452001</v>
      </c>
      <c r="F48" t="s">
        <v>133</v>
      </c>
      <c r="G48" t="s">
        <v>142</v>
      </c>
      <c r="H48">
        <v>135</v>
      </c>
    </row>
    <row r="49" spans="1:8" x14ac:dyDescent="0.3">
      <c r="A49" s="2">
        <v>1091117226711</v>
      </c>
      <c r="B49" s="2">
        <v>2001806735</v>
      </c>
      <c r="C49">
        <v>0.69</v>
      </c>
      <c r="D49">
        <v>121003</v>
      </c>
      <c r="E49">
        <v>721636</v>
      </c>
      <c r="F49" t="s">
        <v>133</v>
      </c>
      <c r="G49" t="s">
        <v>142</v>
      </c>
      <c r="H49">
        <v>90.2</v>
      </c>
    </row>
    <row r="50" spans="1:8" x14ac:dyDescent="0.3">
      <c r="A50" s="2">
        <v>1091117226910</v>
      </c>
      <c r="B50" s="2">
        <v>2001806726</v>
      </c>
      <c r="C50">
        <v>0.68</v>
      </c>
      <c r="D50">
        <v>121003</v>
      </c>
      <c r="E50">
        <v>831002</v>
      </c>
      <c r="F50" t="s">
        <v>133</v>
      </c>
      <c r="G50" t="s">
        <v>142</v>
      </c>
      <c r="H50">
        <v>90.2</v>
      </c>
    </row>
    <row r="51" spans="1:8" hidden="1" x14ac:dyDescent="0.3">
      <c r="A51" s="2">
        <v>1091117227573</v>
      </c>
      <c r="B51" s="2">
        <v>2001806776</v>
      </c>
      <c r="C51">
        <v>2.86</v>
      </c>
      <c r="D51">
        <v>121003</v>
      </c>
      <c r="E51">
        <v>226004</v>
      </c>
      <c r="F51" t="s">
        <v>134</v>
      </c>
      <c r="G51" t="s">
        <v>142</v>
      </c>
      <c r="H51">
        <v>174.5</v>
      </c>
    </row>
    <row r="52" spans="1:8" hidden="1" x14ac:dyDescent="0.3">
      <c r="A52" s="2">
        <v>1091117227816</v>
      </c>
      <c r="B52" s="2">
        <v>2001806801</v>
      </c>
      <c r="C52">
        <v>1.35</v>
      </c>
      <c r="D52">
        <v>121003</v>
      </c>
      <c r="E52">
        <v>248001</v>
      </c>
      <c r="F52" t="s">
        <v>134</v>
      </c>
      <c r="G52" t="s">
        <v>142</v>
      </c>
      <c r="H52">
        <v>89.6</v>
      </c>
    </row>
    <row r="53" spans="1:8" x14ac:dyDescent="0.3">
      <c r="A53" s="2">
        <v>1091117229290</v>
      </c>
      <c r="B53" s="2">
        <v>2001807004</v>
      </c>
      <c r="C53">
        <v>0.68</v>
      </c>
      <c r="D53">
        <v>121003</v>
      </c>
      <c r="E53">
        <v>410206</v>
      </c>
      <c r="F53" t="s">
        <v>133</v>
      </c>
      <c r="G53" t="s">
        <v>142</v>
      </c>
      <c r="H53">
        <v>90.2</v>
      </c>
    </row>
    <row r="54" spans="1:8" hidden="1" x14ac:dyDescent="0.3">
      <c r="A54" s="2">
        <v>1091117323005</v>
      </c>
      <c r="B54" s="2">
        <v>2001807036</v>
      </c>
      <c r="C54">
        <v>1.64</v>
      </c>
      <c r="D54">
        <v>121003</v>
      </c>
      <c r="E54">
        <v>516503</v>
      </c>
      <c r="F54" t="s">
        <v>133</v>
      </c>
      <c r="G54" t="s">
        <v>142</v>
      </c>
      <c r="H54">
        <v>179.8</v>
      </c>
    </row>
    <row r="55" spans="1:8" x14ac:dyDescent="0.3">
      <c r="A55" s="2">
        <v>1091117323215</v>
      </c>
      <c r="B55" s="2">
        <v>2001807084</v>
      </c>
      <c r="C55">
        <v>0.67</v>
      </c>
      <c r="D55">
        <v>121003</v>
      </c>
      <c r="E55">
        <v>742103</v>
      </c>
      <c r="F55" t="s">
        <v>133</v>
      </c>
      <c r="G55" t="s">
        <v>142</v>
      </c>
      <c r="H55">
        <v>90.2</v>
      </c>
    </row>
    <row r="56" spans="1:8" hidden="1" x14ac:dyDescent="0.3">
      <c r="A56" s="2">
        <v>1091117324394</v>
      </c>
      <c r="B56" s="2">
        <v>2001807362</v>
      </c>
      <c r="C56">
        <v>2</v>
      </c>
      <c r="D56">
        <v>121003</v>
      </c>
      <c r="E56">
        <v>452018</v>
      </c>
      <c r="F56" t="s">
        <v>133</v>
      </c>
      <c r="G56" t="s">
        <v>142</v>
      </c>
      <c r="H56">
        <v>179.8</v>
      </c>
    </row>
    <row r="57" spans="1:8" hidden="1" x14ac:dyDescent="0.3">
      <c r="A57" s="2">
        <v>1091117325094</v>
      </c>
      <c r="B57" s="2">
        <v>2001807415</v>
      </c>
      <c r="C57">
        <v>1</v>
      </c>
      <c r="D57">
        <v>121003</v>
      </c>
      <c r="E57">
        <v>208001</v>
      </c>
      <c r="F57" t="s">
        <v>134</v>
      </c>
      <c r="G57" t="s">
        <v>142</v>
      </c>
      <c r="H57">
        <v>61.3</v>
      </c>
    </row>
    <row r="58" spans="1:8" hidden="1" x14ac:dyDescent="0.3">
      <c r="A58" s="2">
        <v>1091117616121</v>
      </c>
      <c r="B58" s="2">
        <v>2001809592</v>
      </c>
      <c r="C58">
        <v>1.5</v>
      </c>
      <c r="D58">
        <v>121003</v>
      </c>
      <c r="E58">
        <v>244713</v>
      </c>
      <c r="F58" t="s">
        <v>134</v>
      </c>
      <c r="G58" t="s">
        <v>142</v>
      </c>
      <c r="H58">
        <v>89.6</v>
      </c>
    </row>
    <row r="59" spans="1:8" hidden="1" x14ac:dyDescent="0.3">
      <c r="A59" s="2">
        <v>1091117795531</v>
      </c>
      <c r="B59" s="2">
        <v>2001809794</v>
      </c>
      <c r="C59">
        <v>1.5</v>
      </c>
      <c r="D59">
        <v>121003</v>
      </c>
      <c r="E59">
        <v>580007</v>
      </c>
      <c r="F59" t="s">
        <v>133</v>
      </c>
      <c r="G59" t="s">
        <v>142</v>
      </c>
      <c r="H59">
        <v>135</v>
      </c>
    </row>
    <row r="60" spans="1:8" hidden="1" x14ac:dyDescent="0.3">
      <c r="A60" s="2">
        <v>1091117795623</v>
      </c>
      <c r="B60" s="2">
        <v>2001809820</v>
      </c>
      <c r="C60">
        <v>3</v>
      </c>
      <c r="D60">
        <v>121003</v>
      </c>
      <c r="E60">
        <v>360005</v>
      </c>
      <c r="F60" t="s">
        <v>133</v>
      </c>
      <c r="G60" t="s">
        <v>142</v>
      </c>
      <c r="H60">
        <v>269.39999999999998</v>
      </c>
    </row>
    <row r="61" spans="1:8" hidden="1" x14ac:dyDescent="0.3">
      <c r="A61" s="2">
        <v>1091117223351</v>
      </c>
      <c r="B61" s="2">
        <v>2001806471</v>
      </c>
      <c r="C61">
        <v>1.7</v>
      </c>
      <c r="D61">
        <v>121003</v>
      </c>
      <c r="E61">
        <v>313027</v>
      </c>
      <c r="F61" t="s">
        <v>133</v>
      </c>
      <c r="G61" t="s">
        <v>142</v>
      </c>
      <c r="H61">
        <v>179.8</v>
      </c>
    </row>
    <row r="62" spans="1:8" x14ac:dyDescent="0.3">
      <c r="A62" s="2">
        <v>1091117324011</v>
      </c>
      <c r="B62" s="2">
        <v>2001807241</v>
      </c>
      <c r="C62">
        <v>0.79</v>
      </c>
      <c r="D62">
        <v>121003</v>
      </c>
      <c r="E62">
        <v>341001</v>
      </c>
      <c r="F62" t="s">
        <v>133</v>
      </c>
      <c r="G62" t="s">
        <v>142</v>
      </c>
      <c r="H62">
        <v>90.2</v>
      </c>
    </row>
    <row r="63" spans="1:8" hidden="1" x14ac:dyDescent="0.3">
      <c r="A63" s="2">
        <v>1091117327570</v>
      </c>
      <c r="B63" s="2">
        <v>2001807981</v>
      </c>
      <c r="C63">
        <v>0.5</v>
      </c>
      <c r="D63">
        <v>121003</v>
      </c>
      <c r="E63">
        <v>332715</v>
      </c>
      <c r="F63" t="s">
        <v>133</v>
      </c>
      <c r="G63" t="s">
        <v>142</v>
      </c>
      <c r="H63">
        <v>45.4</v>
      </c>
    </row>
    <row r="64" spans="1:8" x14ac:dyDescent="0.3">
      <c r="A64" s="2">
        <v>1091117435602</v>
      </c>
      <c r="B64" s="2">
        <v>2001808286</v>
      </c>
      <c r="C64">
        <v>0.77</v>
      </c>
      <c r="D64">
        <v>121003</v>
      </c>
      <c r="E64">
        <v>302031</v>
      </c>
      <c r="F64" t="s">
        <v>133</v>
      </c>
      <c r="G64" t="s">
        <v>142</v>
      </c>
      <c r="H64">
        <v>90.2</v>
      </c>
    </row>
    <row r="65" spans="1:8" x14ac:dyDescent="0.3">
      <c r="A65" s="2">
        <v>1091117437680</v>
      </c>
      <c r="B65" s="2">
        <v>2001808801</v>
      </c>
      <c r="C65">
        <v>0.8</v>
      </c>
      <c r="D65">
        <v>121003</v>
      </c>
      <c r="E65">
        <v>335001</v>
      </c>
      <c r="F65" t="s">
        <v>133</v>
      </c>
      <c r="G65" t="s">
        <v>142</v>
      </c>
      <c r="H65">
        <v>90.2</v>
      </c>
    </row>
    <row r="66" spans="1:8" x14ac:dyDescent="0.3">
      <c r="A66" s="2">
        <v>1091117804200</v>
      </c>
      <c r="B66" s="2">
        <v>2001810104</v>
      </c>
      <c r="C66">
        <v>0.76</v>
      </c>
      <c r="D66">
        <v>121003</v>
      </c>
      <c r="E66">
        <v>334004</v>
      </c>
      <c r="F66" t="s">
        <v>133</v>
      </c>
      <c r="G66" t="s">
        <v>142</v>
      </c>
      <c r="H66">
        <v>90.2</v>
      </c>
    </row>
    <row r="67" spans="1:8" x14ac:dyDescent="0.3">
      <c r="A67" s="2">
        <v>1091117957533</v>
      </c>
      <c r="B67" s="2">
        <v>2001811153</v>
      </c>
      <c r="C67">
        <v>0.76</v>
      </c>
      <c r="D67">
        <v>121003</v>
      </c>
      <c r="E67">
        <v>321001</v>
      </c>
      <c r="F67" t="s">
        <v>133</v>
      </c>
      <c r="G67" t="s">
        <v>142</v>
      </c>
      <c r="H67">
        <v>90.2</v>
      </c>
    </row>
    <row r="68" spans="1:8" x14ac:dyDescent="0.3">
      <c r="A68" s="2">
        <v>1091117957942</v>
      </c>
      <c r="B68" s="2">
        <v>2001811229</v>
      </c>
      <c r="C68">
        <v>0.6</v>
      </c>
      <c r="D68">
        <v>121003</v>
      </c>
      <c r="E68">
        <v>324001</v>
      </c>
      <c r="F68" t="s">
        <v>133</v>
      </c>
      <c r="G68" t="s">
        <v>142</v>
      </c>
      <c r="H68">
        <v>90.2</v>
      </c>
    </row>
    <row r="69" spans="1:8" x14ac:dyDescent="0.3">
      <c r="A69" s="2">
        <v>1091117958395</v>
      </c>
      <c r="B69" s="2">
        <v>2001811363</v>
      </c>
      <c r="C69">
        <v>0.59</v>
      </c>
      <c r="D69">
        <v>121003</v>
      </c>
      <c r="E69">
        <v>321608</v>
      </c>
      <c r="F69" t="s">
        <v>133</v>
      </c>
      <c r="G69" t="s">
        <v>142</v>
      </c>
      <c r="H69">
        <v>90.2</v>
      </c>
    </row>
    <row r="70" spans="1:8" x14ac:dyDescent="0.3">
      <c r="A70" s="2">
        <v>1091118001865</v>
      </c>
      <c r="B70" s="2">
        <v>2001811466</v>
      </c>
      <c r="C70">
        <v>0.8</v>
      </c>
      <c r="D70">
        <v>121003</v>
      </c>
      <c r="E70">
        <v>302002</v>
      </c>
      <c r="F70" t="s">
        <v>133</v>
      </c>
      <c r="G70" t="s">
        <v>142</v>
      </c>
      <c r="H70">
        <v>90.2</v>
      </c>
    </row>
    <row r="71" spans="1:8" hidden="1" x14ac:dyDescent="0.3">
      <c r="A71" s="2">
        <v>1091118009786</v>
      </c>
      <c r="B71" s="2">
        <v>2001811809</v>
      </c>
      <c r="C71">
        <v>0.5</v>
      </c>
      <c r="D71">
        <v>121003</v>
      </c>
      <c r="E71">
        <v>311011</v>
      </c>
      <c r="F71" t="s">
        <v>133</v>
      </c>
      <c r="G71" t="s">
        <v>143</v>
      </c>
      <c r="H71">
        <v>86.7</v>
      </c>
    </row>
    <row r="72" spans="1:8" hidden="1" x14ac:dyDescent="0.3">
      <c r="A72" s="2">
        <v>1091118548333</v>
      </c>
      <c r="B72" s="2">
        <v>2001812854</v>
      </c>
      <c r="C72">
        <v>2.94</v>
      </c>
      <c r="D72">
        <v>121003</v>
      </c>
      <c r="E72">
        <v>306302</v>
      </c>
      <c r="F72" t="s">
        <v>133</v>
      </c>
      <c r="G72" t="s">
        <v>142</v>
      </c>
      <c r="H72">
        <v>269.39999999999998</v>
      </c>
    </row>
    <row r="73" spans="1:8" x14ac:dyDescent="0.3">
      <c r="A73" s="2">
        <v>1091118553701</v>
      </c>
      <c r="B73" s="2">
        <v>2001813009</v>
      </c>
      <c r="C73">
        <v>1</v>
      </c>
      <c r="D73">
        <v>121003</v>
      </c>
      <c r="E73">
        <v>313001</v>
      </c>
      <c r="F73" t="s">
        <v>133</v>
      </c>
      <c r="G73" t="s">
        <v>142</v>
      </c>
      <c r="H73">
        <v>90.2</v>
      </c>
    </row>
    <row r="74" spans="1:8" x14ac:dyDescent="0.3">
      <c r="A74" s="2">
        <v>1091118591534</v>
      </c>
      <c r="B74" s="2">
        <v>2001812650</v>
      </c>
      <c r="C74">
        <v>0.61</v>
      </c>
      <c r="D74">
        <v>121003</v>
      </c>
      <c r="E74">
        <v>302002</v>
      </c>
      <c r="F74" t="s">
        <v>133</v>
      </c>
      <c r="G74" t="s">
        <v>142</v>
      </c>
      <c r="H74">
        <v>90.2</v>
      </c>
    </row>
    <row r="75" spans="1:8" hidden="1" x14ac:dyDescent="0.3">
      <c r="A75" s="2">
        <v>1091118925110</v>
      </c>
      <c r="B75" s="2">
        <v>2001814580</v>
      </c>
      <c r="C75">
        <v>0.15</v>
      </c>
      <c r="D75">
        <v>121003</v>
      </c>
      <c r="E75">
        <v>322255</v>
      </c>
      <c r="F75" t="s">
        <v>133</v>
      </c>
      <c r="G75" t="s">
        <v>143</v>
      </c>
      <c r="H75">
        <v>86.7</v>
      </c>
    </row>
    <row r="76" spans="1:8" hidden="1" x14ac:dyDescent="0.3">
      <c r="A76" s="2">
        <v>1091119169701</v>
      </c>
      <c r="B76" s="2">
        <v>2001815688</v>
      </c>
      <c r="C76">
        <v>0.2</v>
      </c>
      <c r="D76">
        <v>121003</v>
      </c>
      <c r="E76">
        <v>302017</v>
      </c>
      <c r="F76" t="s">
        <v>133</v>
      </c>
      <c r="G76" t="s">
        <v>142</v>
      </c>
      <c r="H76">
        <v>45.4</v>
      </c>
    </row>
    <row r="77" spans="1:8" x14ac:dyDescent="0.3">
      <c r="A77" s="2">
        <v>1091119367193</v>
      </c>
      <c r="B77" s="2">
        <v>2001816131</v>
      </c>
      <c r="C77">
        <v>0.7</v>
      </c>
      <c r="D77">
        <v>121003</v>
      </c>
      <c r="E77">
        <v>302017</v>
      </c>
      <c r="F77" t="s">
        <v>133</v>
      </c>
      <c r="G77" t="s">
        <v>142</v>
      </c>
      <c r="H77">
        <v>90.2</v>
      </c>
    </row>
    <row r="78" spans="1:8" hidden="1" x14ac:dyDescent="0.3">
      <c r="A78" s="2">
        <v>1091119429202</v>
      </c>
      <c r="B78" s="2">
        <v>2001816996</v>
      </c>
      <c r="C78">
        <v>0.5</v>
      </c>
      <c r="D78">
        <v>121003</v>
      </c>
      <c r="E78">
        <v>335512</v>
      </c>
      <c r="F78" t="s">
        <v>133</v>
      </c>
      <c r="G78" t="s">
        <v>142</v>
      </c>
      <c r="H78">
        <v>45.4</v>
      </c>
    </row>
    <row r="79" spans="1:8" hidden="1" x14ac:dyDescent="0.3">
      <c r="A79" s="2">
        <v>1091120959225</v>
      </c>
      <c r="B79" s="2">
        <v>2001821185</v>
      </c>
      <c r="C79">
        <v>2.1</v>
      </c>
      <c r="D79">
        <v>121003</v>
      </c>
      <c r="E79">
        <v>313001</v>
      </c>
      <c r="F79" t="s">
        <v>133</v>
      </c>
      <c r="G79" t="s">
        <v>142</v>
      </c>
      <c r="H79">
        <v>224.6</v>
      </c>
    </row>
    <row r="80" spans="1:8" hidden="1" x14ac:dyDescent="0.3">
      <c r="A80" s="2">
        <v>1091120962515</v>
      </c>
      <c r="B80" s="2">
        <v>2001821284</v>
      </c>
      <c r="C80">
        <v>0.2</v>
      </c>
      <c r="D80">
        <v>121003</v>
      </c>
      <c r="E80">
        <v>313001</v>
      </c>
      <c r="F80" t="s">
        <v>133</v>
      </c>
      <c r="G80" t="s">
        <v>142</v>
      </c>
      <c r="H80">
        <v>45.4</v>
      </c>
    </row>
    <row r="81" spans="1:8" hidden="1" x14ac:dyDescent="0.3">
      <c r="A81" s="2">
        <v>1091121031745</v>
      </c>
      <c r="B81" s="2">
        <v>2001821679</v>
      </c>
      <c r="C81">
        <v>0.2</v>
      </c>
      <c r="D81">
        <v>121003</v>
      </c>
      <c r="E81">
        <v>307026</v>
      </c>
      <c r="F81" t="s">
        <v>133</v>
      </c>
      <c r="G81" t="s">
        <v>142</v>
      </c>
      <c r="H81">
        <v>45.4</v>
      </c>
    </row>
    <row r="82" spans="1:8" hidden="1" x14ac:dyDescent="0.3">
      <c r="A82" s="2">
        <v>1091121034114</v>
      </c>
      <c r="B82" s="2">
        <v>2001821742</v>
      </c>
      <c r="C82">
        <v>0.15</v>
      </c>
      <c r="D82">
        <v>121003</v>
      </c>
      <c r="E82">
        <v>327025</v>
      </c>
      <c r="F82" t="s">
        <v>133</v>
      </c>
      <c r="G82" t="s">
        <v>142</v>
      </c>
      <c r="H82">
        <v>45.4</v>
      </c>
    </row>
    <row r="83" spans="1:8" x14ac:dyDescent="0.3">
      <c r="A83" s="2">
        <v>1091121034350</v>
      </c>
      <c r="B83" s="2">
        <v>2001821750</v>
      </c>
      <c r="C83">
        <v>0.8</v>
      </c>
      <c r="D83">
        <v>121003</v>
      </c>
      <c r="E83">
        <v>313333</v>
      </c>
      <c r="F83" t="s">
        <v>133</v>
      </c>
      <c r="G83" t="s">
        <v>142</v>
      </c>
      <c r="H83">
        <v>90.2</v>
      </c>
    </row>
    <row r="84" spans="1:8" hidden="1" x14ac:dyDescent="0.3">
      <c r="A84" s="2">
        <v>1091121034641</v>
      </c>
      <c r="B84" s="2">
        <v>2001821766</v>
      </c>
      <c r="C84">
        <v>0.2</v>
      </c>
      <c r="D84">
        <v>121003</v>
      </c>
      <c r="E84">
        <v>313001</v>
      </c>
      <c r="F84" t="s">
        <v>133</v>
      </c>
      <c r="G84" t="s">
        <v>142</v>
      </c>
      <c r="H84">
        <v>45.4</v>
      </c>
    </row>
    <row r="85" spans="1:8" hidden="1" x14ac:dyDescent="0.3">
      <c r="A85" s="2">
        <v>1091121183730</v>
      </c>
      <c r="B85" s="2">
        <v>2001821995</v>
      </c>
      <c r="C85">
        <v>0.5</v>
      </c>
      <c r="D85">
        <v>121003</v>
      </c>
      <c r="E85">
        <v>342008</v>
      </c>
      <c r="F85" t="s">
        <v>133</v>
      </c>
      <c r="G85" t="s">
        <v>142</v>
      </c>
      <c r="H85">
        <v>45.4</v>
      </c>
    </row>
    <row r="86" spans="1:8" x14ac:dyDescent="0.3">
      <c r="A86" s="2">
        <v>1091121185863</v>
      </c>
      <c r="B86" s="2">
        <v>2001821502</v>
      </c>
      <c r="C86">
        <v>0.6</v>
      </c>
      <c r="D86">
        <v>121003</v>
      </c>
      <c r="E86">
        <v>314401</v>
      </c>
      <c r="F86" t="s">
        <v>133</v>
      </c>
      <c r="G86" t="s">
        <v>142</v>
      </c>
      <c r="H86">
        <v>90.2</v>
      </c>
    </row>
    <row r="87" spans="1:8" hidden="1" x14ac:dyDescent="0.3">
      <c r="A87" s="2">
        <v>1091121305541</v>
      </c>
      <c r="B87" s="2">
        <v>2001822466</v>
      </c>
      <c r="C87">
        <v>1.1000000000000001</v>
      </c>
      <c r="D87">
        <v>121003</v>
      </c>
      <c r="E87">
        <v>342301</v>
      </c>
      <c r="F87" t="s">
        <v>133</v>
      </c>
      <c r="G87" t="s">
        <v>142</v>
      </c>
      <c r="H87">
        <v>135</v>
      </c>
    </row>
    <row r="88" spans="1:8" hidden="1" x14ac:dyDescent="0.3">
      <c r="A88" s="2">
        <v>1091121306101</v>
      </c>
      <c r="B88" s="2">
        <v>2001820690</v>
      </c>
      <c r="C88">
        <v>0.15</v>
      </c>
      <c r="D88">
        <v>121003</v>
      </c>
      <c r="E88">
        <v>313003</v>
      </c>
      <c r="F88" t="s">
        <v>133</v>
      </c>
      <c r="G88" t="s">
        <v>142</v>
      </c>
      <c r="H88">
        <v>45.4</v>
      </c>
    </row>
    <row r="89" spans="1:8" hidden="1" x14ac:dyDescent="0.3">
      <c r="A89" s="2">
        <v>1091118004245</v>
      </c>
      <c r="B89" s="2">
        <v>2001811604</v>
      </c>
      <c r="C89">
        <v>0.8</v>
      </c>
      <c r="D89">
        <v>121003</v>
      </c>
      <c r="E89">
        <v>173212</v>
      </c>
      <c r="F89" t="s">
        <v>134</v>
      </c>
      <c r="G89" t="s">
        <v>142</v>
      </c>
      <c r="H89">
        <v>61.3</v>
      </c>
    </row>
    <row r="90" spans="1:8" hidden="1" x14ac:dyDescent="0.3">
      <c r="A90" s="2">
        <v>1091120352712</v>
      </c>
      <c r="B90" s="2">
        <v>2001819252</v>
      </c>
      <c r="C90">
        <v>0.3</v>
      </c>
      <c r="D90">
        <v>121003</v>
      </c>
      <c r="E90">
        <v>174101</v>
      </c>
      <c r="F90" t="s">
        <v>134</v>
      </c>
      <c r="G90" t="s">
        <v>142</v>
      </c>
      <c r="H90">
        <v>33</v>
      </c>
    </row>
    <row r="91" spans="1:8" hidden="1" x14ac:dyDescent="0.3">
      <c r="A91" s="2">
        <v>1091122418320</v>
      </c>
      <c r="B91" s="2">
        <v>2001827036</v>
      </c>
      <c r="C91">
        <v>1.6</v>
      </c>
      <c r="D91">
        <v>121003</v>
      </c>
      <c r="E91">
        <v>173213</v>
      </c>
      <c r="F91" t="s">
        <v>134</v>
      </c>
      <c r="G91" t="s">
        <v>142</v>
      </c>
      <c r="H91">
        <v>117.9</v>
      </c>
    </row>
    <row r="92" spans="1:8" x14ac:dyDescent="0.3">
      <c r="A92" s="2">
        <v>1091117222360</v>
      </c>
      <c r="B92" s="2">
        <v>2001806304</v>
      </c>
      <c r="C92">
        <v>0.71</v>
      </c>
      <c r="D92">
        <v>121003</v>
      </c>
      <c r="E92">
        <v>302017</v>
      </c>
      <c r="F92" t="s">
        <v>133</v>
      </c>
      <c r="G92" t="s">
        <v>142</v>
      </c>
      <c r="H92">
        <v>90.2</v>
      </c>
    </row>
    <row r="93" spans="1:8" hidden="1" x14ac:dyDescent="0.3">
      <c r="A93" s="2">
        <v>1091117227116</v>
      </c>
      <c r="B93" s="2">
        <v>2001806768</v>
      </c>
      <c r="C93">
        <v>1.02</v>
      </c>
      <c r="D93">
        <v>121003</v>
      </c>
      <c r="E93">
        <v>322201</v>
      </c>
      <c r="F93" t="s">
        <v>133</v>
      </c>
      <c r="G93" t="s">
        <v>142</v>
      </c>
      <c r="H93">
        <v>135</v>
      </c>
    </row>
    <row r="94" spans="1:8" x14ac:dyDescent="0.3">
      <c r="A94" s="2">
        <v>1091117228133</v>
      </c>
      <c r="B94" s="2">
        <v>2001806823</v>
      </c>
      <c r="C94">
        <v>0.59</v>
      </c>
      <c r="D94">
        <v>121003</v>
      </c>
      <c r="E94">
        <v>314001</v>
      </c>
      <c r="F94" t="s">
        <v>133</v>
      </c>
      <c r="G94" t="s">
        <v>142</v>
      </c>
      <c r="H94">
        <v>90.2</v>
      </c>
    </row>
    <row r="95" spans="1:8" x14ac:dyDescent="0.3">
      <c r="A95" s="2">
        <v>1091117228192</v>
      </c>
      <c r="B95" s="2">
        <v>2001806828</v>
      </c>
      <c r="C95">
        <v>0.69</v>
      </c>
      <c r="D95">
        <v>121003</v>
      </c>
      <c r="E95">
        <v>331022</v>
      </c>
      <c r="F95" t="s">
        <v>133</v>
      </c>
      <c r="G95" t="s">
        <v>142</v>
      </c>
      <c r="H95">
        <v>90.2</v>
      </c>
    </row>
    <row r="96" spans="1:8" x14ac:dyDescent="0.3">
      <c r="A96" s="2">
        <v>1091117229183</v>
      </c>
      <c r="B96" s="2">
        <v>2001806968</v>
      </c>
      <c r="C96">
        <v>0.68</v>
      </c>
      <c r="D96">
        <v>121003</v>
      </c>
      <c r="E96">
        <v>305801</v>
      </c>
      <c r="F96" t="s">
        <v>133</v>
      </c>
      <c r="G96" t="s">
        <v>142</v>
      </c>
      <c r="H96">
        <v>90.2</v>
      </c>
    </row>
    <row r="97" spans="1:8" hidden="1" x14ac:dyDescent="0.3">
      <c r="A97" s="2">
        <v>1091117324346</v>
      </c>
      <c r="B97" s="2">
        <v>2001807328</v>
      </c>
      <c r="C97">
        <v>2.2799999999999998</v>
      </c>
      <c r="D97">
        <v>121003</v>
      </c>
      <c r="E97">
        <v>335502</v>
      </c>
      <c r="F97" t="s">
        <v>133</v>
      </c>
      <c r="G97" t="s">
        <v>142</v>
      </c>
      <c r="H97">
        <v>224.6</v>
      </c>
    </row>
    <row r="98" spans="1:8" x14ac:dyDescent="0.3">
      <c r="A98" s="2">
        <v>1091117326424</v>
      </c>
      <c r="B98" s="2">
        <v>2001807785</v>
      </c>
      <c r="C98">
        <v>0.68</v>
      </c>
      <c r="D98">
        <v>121003</v>
      </c>
      <c r="E98">
        <v>306116</v>
      </c>
      <c r="F98" t="s">
        <v>133</v>
      </c>
      <c r="G98" t="s">
        <v>142</v>
      </c>
      <c r="H98">
        <v>90.2</v>
      </c>
    </row>
    <row r="99" spans="1:8" x14ac:dyDescent="0.3">
      <c r="A99" s="2">
        <v>1091117326925</v>
      </c>
      <c r="B99" s="2">
        <v>2001807852</v>
      </c>
      <c r="C99">
        <v>0.74</v>
      </c>
      <c r="D99">
        <v>121003</v>
      </c>
      <c r="E99">
        <v>311001</v>
      </c>
      <c r="F99" t="s">
        <v>133</v>
      </c>
      <c r="G99" t="s">
        <v>142</v>
      </c>
      <c r="H99">
        <v>90.2</v>
      </c>
    </row>
    <row r="100" spans="1:8" hidden="1" x14ac:dyDescent="0.3">
      <c r="A100" s="2">
        <v>1091117327474</v>
      </c>
      <c r="B100" s="2">
        <v>2001807970</v>
      </c>
      <c r="C100">
        <v>4.13</v>
      </c>
      <c r="D100">
        <v>121003</v>
      </c>
      <c r="E100">
        <v>302019</v>
      </c>
      <c r="F100" t="s">
        <v>133</v>
      </c>
      <c r="G100" t="s">
        <v>142</v>
      </c>
      <c r="H100">
        <v>403.8</v>
      </c>
    </row>
    <row r="101" spans="1:8" x14ac:dyDescent="0.3">
      <c r="A101" s="2">
        <v>1091117333100</v>
      </c>
      <c r="B101" s="2">
        <v>2001807329</v>
      </c>
      <c r="C101">
        <v>0.73</v>
      </c>
      <c r="D101">
        <v>121003</v>
      </c>
      <c r="E101">
        <v>302039</v>
      </c>
      <c r="F101" t="s">
        <v>133</v>
      </c>
      <c r="G101" t="s">
        <v>142</v>
      </c>
      <c r="H101">
        <v>90.2</v>
      </c>
    </row>
    <row r="102" spans="1:8" hidden="1" x14ac:dyDescent="0.3">
      <c r="A102" s="2">
        <v>1091117333251</v>
      </c>
      <c r="B102" s="2">
        <v>2001807613</v>
      </c>
      <c r="C102">
        <v>1.04</v>
      </c>
      <c r="D102">
        <v>121003</v>
      </c>
      <c r="E102">
        <v>335803</v>
      </c>
      <c r="F102" t="s">
        <v>133</v>
      </c>
      <c r="G102" t="s">
        <v>142</v>
      </c>
      <c r="H102">
        <v>135</v>
      </c>
    </row>
    <row r="103" spans="1:8" x14ac:dyDescent="0.3">
      <c r="A103" s="2">
        <v>1091117436346</v>
      </c>
      <c r="B103" s="2">
        <v>2001808475</v>
      </c>
      <c r="C103">
        <v>0.7</v>
      </c>
      <c r="D103">
        <v>121003</v>
      </c>
      <c r="E103">
        <v>335001</v>
      </c>
      <c r="F103" t="s">
        <v>133</v>
      </c>
      <c r="G103" t="s">
        <v>142</v>
      </c>
      <c r="H103">
        <v>90.2</v>
      </c>
    </row>
    <row r="104" spans="1:8" hidden="1" x14ac:dyDescent="0.3">
      <c r="A104" s="2">
        <v>1091117436652</v>
      </c>
      <c r="B104" s="2">
        <v>2001808585</v>
      </c>
      <c r="C104">
        <v>0.72</v>
      </c>
      <c r="D104">
        <v>121003</v>
      </c>
      <c r="E104">
        <v>175101</v>
      </c>
      <c r="F104" t="s">
        <v>134</v>
      </c>
      <c r="G104" t="s">
        <v>142</v>
      </c>
      <c r="H104">
        <v>61.3</v>
      </c>
    </row>
    <row r="105" spans="1:8" x14ac:dyDescent="0.3">
      <c r="A105" s="2">
        <v>1091117437035</v>
      </c>
      <c r="B105" s="2">
        <v>2001808679</v>
      </c>
      <c r="C105">
        <v>0.72</v>
      </c>
      <c r="D105">
        <v>121003</v>
      </c>
      <c r="E105">
        <v>303903</v>
      </c>
      <c r="F105" t="s">
        <v>133</v>
      </c>
      <c r="G105" t="s">
        <v>142</v>
      </c>
      <c r="H105">
        <v>90.2</v>
      </c>
    </row>
    <row r="106" spans="1:8" hidden="1" x14ac:dyDescent="0.3">
      <c r="A106" s="2">
        <v>1091117437293</v>
      </c>
      <c r="B106" s="2">
        <v>2001808739</v>
      </c>
      <c r="C106">
        <v>1.63</v>
      </c>
      <c r="D106">
        <v>121003</v>
      </c>
      <c r="E106">
        <v>342012</v>
      </c>
      <c r="F106" t="s">
        <v>133</v>
      </c>
      <c r="G106" t="s">
        <v>142</v>
      </c>
      <c r="H106">
        <v>179.8</v>
      </c>
    </row>
    <row r="107" spans="1:8" hidden="1" x14ac:dyDescent="0.3">
      <c r="A107" s="2">
        <v>1091117437864</v>
      </c>
      <c r="B107" s="2">
        <v>2001808832</v>
      </c>
      <c r="C107">
        <v>2.4700000000000002</v>
      </c>
      <c r="D107">
        <v>121003</v>
      </c>
      <c r="E107">
        <v>334001</v>
      </c>
      <c r="F107" t="s">
        <v>133</v>
      </c>
      <c r="G107" t="s">
        <v>142</v>
      </c>
      <c r="H107">
        <v>224.6</v>
      </c>
    </row>
    <row r="108" spans="1:8" x14ac:dyDescent="0.3">
      <c r="A108" s="2">
        <v>1091117437890</v>
      </c>
      <c r="B108" s="2">
        <v>2001808837</v>
      </c>
      <c r="C108">
        <v>0.67</v>
      </c>
      <c r="D108">
        <v>121003</v>
      </c>
      <c r="E108">
        <v>302031</v>
      </c>
      <c r="F108" t="s">
        <v>133</v>
      </c>
      <c r="G108" t="s">
        <v>142</v>
      </c>
      <c r="H108">
        <v>90.2</v>
      </c>
    </row>
    <row r="109" spans="1:8" x14ac:dyDescent="0.3">
      <c r="A109" s="2">
        <v>1091117438074</v>
      </c>
      <c r="B109" s="2">
        <v>2001808883</v>
      </c>
      <c r="C109">
        <v>0.72</v>
      </c>
      <c r="D109">
        <v>121003</v>
      </c>
      <c r="E109">
        <v>302012</v>
      </c>
      <c r="F109" t="s">
        <v>133</v>
      </c>
      <c r="G109" t="s">
        <v>142</v>
      </c>
      <c r="H109">
        <v>90.2</v>
      </c>
    </row>
    <row r="110" spans="1:8" x14ac:dyDescent="0.3">
      <c r="A110" s="2">
        <v>1091117611501</v>
      </c>
      <c r="B110" s="2">
        <v>2001808992</v>
      </c>
      <c r="C110">
        <v>0.72</v>
      </c>
      <c r="D110">
        <v>121003</v>
      </c>
      <c r="E110">
        <v>342014</v>
      </c>
      <c r="F110" t="s">
        <v>133</v>
      </c>
      <c r="G110" t="s">
        <v>142</v>
      </c>
      <c r="H110">
        <v>90.2</v>
      </c>
    </row>
    <row r="111" spans="1:8" x14ac:dyDescent="0.3">
      <c r="A111" s="2">
        <v>1091117613962</v>
      </c>
      <c r="B111" s="2">
        <v>2001809270</v>
      </c>
      <c r="C111">
        <v>0.68</v>
      </c>
      <c r="D111">
        <v>121003</v>
      </c>
      <c r="E111">
        <v>324005</v>
      </c>
      <c r="F111" t="s">
        <v>133</v>
      </c>
      <c r="G111" t="s">
        <v>142</v>
      </c>
      <c r="H111">
        <v>90.2</v>
      </c>
    </row>
    <row r="112" spans="1:8" x14ac:dyDescent="0.3">
      <c r="A112" s="2">
        <v>1091117803511</v>
      </c>
      <c r="B112" s="2">
        <v>2001809934</v>
      </c>
      <c r="C112">
        <v>0.82</v>
      </c>
      <c r="D112">
        <v>121003</v>
      </c>
      <c r="E112">
        <v>302001</v>
      </c>
      <c r="F112" t="s">
        <v>133</v>
      </c>
      <c r="G112" t="s">
        <v>142</v>
      </c>
      <c r="H112">
        <v>90.2</v>
      </c>
    </row>
    <row r="113" spans="1:8" x14ac:dyDescent="0.3">
      <c r="A113" s="2">
        <v>1091117804314</v>
      </c>
      <c r="B113" s="2">
        <v>2001810125</v>
      </c>
      <c r="C113">
        <v>0.66</v>
      </c>
      <c r="D113">
        <v>121003</v>
      </c>
      <c r="E113">
        <v>302004</v>
      </c>
      <c r="F113" t="s">
        <v>133</v>
      </c>
      <c r="G113" t="s">
        <v>142</v>
      </c>
      <c r="H113">
        <v>90.2</v>
      </c>
    </row>
    <row r="114" spans="1:8" x14ac:dyDescent="0.3">
      <c r="A114" s="2">
        <v>1091117805390</v>
      </c>
      <c r="B114" s="2">
        <v>2001810281</v>
      </c>
      <c r="C114">
        <v>0.68</v>
      </c>
      <c r="D114">
        <v>121003</v>
      </c>
      <c r="E114">
        <v>302018</v>
      </c>
      <c r="F114" t="s">
        <v>133</v>
      </c>
      <c r="G114" t="s">
        <v>142</v>
      </c>
      <c r="H114">
        <v>90.2</v>
      </c>
    </row>
    <row r="115" spans="1:8" hidden="1" x14ac:dyDescent="0.3">
      <c r="A115" s="2">
        <v>1091117806263</v>
      </c>
      <c r="B115" s="2">
        <v>2001810549</v>
      </c>
      <c r="C115">
        <v>1.86</v>
      </c>
      <c r="D115">
        <v>121003</v>
      </c>
      <c r="E115">
        <v>302017</v>
      </c>
      <c r="F115" t="s">
        <v>133</v>
      </c>
      <c r="G115" t="s">
        <v>142</v>
      </c>
      <c r="H115">
        <v>179.8</v>
      </c>
    </row>
    <row r="116" spans="1:8" hidden="1" x14ac:dyDescent="0.3">
      <c r="A116" s="2">
        <v>1091117807140</v>
      </c>
      <c r="B116" s="2">
        <v>2001810697</v>
      </c>
      <c r="C116">
        <v>2.27</v>
      </c>
      <c r="D116">
        <v>121003</v>
      </c>
      <c r="E116">
        <v>324008</v>
      </c>
      <c r="F116" t="s">
        <v>133</v>
      </c>
      <c r="G116" t="s">
        <v>142</v>
      </c>
      <c r="H116">
        <v>224.6</v>
      </c>
    </row>
    <row r="117" spans="1:8" x14ac:dyDescent="0.3">
      <c r="A117" s="2">
        <v>1091117904860</v>
      </c>
      <c r="B117" s="2">
        <v>2001811039</v>
      </c>
      <c r="C117">
        <v>0.68</v>
      </c>
      <c r="D117">
        <v>121003</v>
      </c>
      <c r="E117">
        <v>302020</v>
      </c>
      <c r="F117" t="s">
        <v>133</v>
      </c>
      <c r="G117" t="s">
        <v>142</v>
      </c>
      <c r="H117">
        <v>90.2</v>
      </c>
    </row>
    <row r="118" spans="1:8" x14ac:dyDescent="0.3">
      <c r="A118" s="2">
        <v>1091117905022</v>
      </c>
      <c r="B118" s="2">
        <v>2001811058</v>
      </c>
      <c r="C118">
        <v>0.72</v>
      </c>
      <c r="D118">
        <v>121003</v>
      </c>
      <c r="E118">
        <v>302018</v>
      </c>
      <c r="F118" t="s">
        <v>133</v>
      </c>
      <c r="G118" t="s">
        <v>142</v>
      </c>
      <c r="H118">
        <v>90.2</v>
      </c>
    </row>
    <row r="119" spans="1:8" hidden="1" x14ac:dyDescent="0.3">
      <c r="A119" s="2">
        <v>1091117958163</v>
      </c>
      <c r="B119" s="2">
        <v>2001811306</v>
      </c>
      <c r="C119">
        <v>1.1000000000000001</v>
      </c>
      <c r="D119">
        <v>121003</v>
      </c>
      <c r="E119">
        <v>302017</v>
      </c>
      <c r="F119" t="s">
        <v>133</v>
      </c>
      <c r="G119" t="s">
        <v>142</v>
      </c>
      <c r="H119">
        <v>135</v>
      </c>
    </row>
    <row r="120" spans="1:8" x14ac:dyDescent="0.3">
      <c r="A120" s="2">
        <v>1091118442390</v>
      </c>
      <c r="B120" s="2">
        <v>2001812195</v>
      </c>
      <c r="C120">
        <v>0.67</v>
      </c>
      <c r="D120">
        <v>121003</v>
      </c>
      <c r="E120">
        <v>302012</v>
      </c>
      <c r="F120" t="s">
        <v>133</v>
      </c>
      <c r="G120" t="s">
        <v>142</v>
      </c>
      <c r="H120">
        <v>90.2</v>
      </c>
    </row>
    <row r="121" spans="1:8" x14ac:dyDescent="0.3">
      <c r="A121" s="2">
        <v>1091118551656</v>
      </c>
      <c r="B121" s="2">
        <v>2001812941</v>
      </c>
      <c r="C121">
        <v>0.73</v>
      </c>
      <c r="D121">
        <v>121003</v>
      </c>
      <c r="E121">
        <v>325207</v>
      </c>
      <c r="F121" t="s">
        <v>133</v>
      </c>
      <c r="G121" t="s">
        <v>142</v>
      </c>
      <c r="H121">
        <v>90.2</v>
      </c>
    </row>
    <row r="122" spans="1:8" hidden="1" x14ac:dyDescent="0.3">
      <c r="A122" s="2">
        <v>1091117614452</v>
      </c>
      <c r="B122" s="2">
        <v>2001809383</v>
      </c>
      <c r="C122">
        <v>0.5</v>
      </c>
      <c r="D122">
        <v>121003</v>
      </c>
      <c r="E122">
        <v>303702</v>
      </c>
      <c r="F122" t="s">
        <v>133</v>
      </c>
      <c r="G122" t="s">
        <v>143</v>
      </c>
      <c r="H122">
        <v>86.7</v>
      </c>
    </row>
    <row r="123" spans="1:8" hidden="1" x14ac:dyDescent="0.3">
      <c r="A123" s="2">
        <v>1091120922803</v>
      </c>
      <c r="B123" s="2">
        <v>2001820978</v>
      </c>
      <c r="C123">
        <v>0.5</v>
      </c>
      <c r="D123">
        <v>121003</v>
      </c>
      <c r="E123">
        <v>313301</v>
      </c>
      <c r="F123" t="s">
        <v>133</v>
      </c>
      <c r="G123" t="s">
        <v>142</v>
      </c>
      <c r="H123">
        <v>45.4</v>
      </c>
    </row>
    <row r="124" spans="1:8" hidden="1" x14ac:dyDescent="0.3">
      <c r="A124" s="2">
        <v>1091121844806</v>
      </c>
      <c r="B124" s="2">
        <v>2001811475</v>
      </c>
      <c r="C124">
        <v>0.5</v>
      </c>
      <c r="D124">
        <v>121003</v>
      </c>
      <c r="E124">
        <v>173212</v>
      </c>
      <c r="F124" t="s">
        <v>134</v>
      </c>
      <c r="G124" t="s">
        <v>142</v>
      </c>
      <c r="H124">
        <v>33</v>
      </c>
    </row>
    <row r="125" spans="1:8" hidden="1" x14ac:dyDescent="0.3">
      <c r="A125" s="2">
        <v>1091121846136</v>
      </c>
      <c r="B125" s="2">
        <v>2001811305</v>
      </c>
      <c r="C125">
        <v>0.5</v>
      </c>
      <c r="D125">
        <v>121003</v>
      </c>
      <c r="E125">
        <v>302020</v>
      </c>
      <c r="F125" t="s">
        <v>133</v>
      </c>
      <c r="G125" t="s">
        <v>142</v>
      </c>
      <c r="H125">
        <v>45.4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685E-4610-4FCC-8CBC-8C95590DEBA4}">
  <dimension ref="A1:T2"/>
  <sheetViews>
    <sheetView workbookViewId="0">
      <selection activeCell="N15" sqref="N15"/>
    </sheetView>
  </sheetViews>
  <sheetFormatPr defaultRowHeight="14.4" x14ac:dyDescent="0.3"/>
  <cols>
    <col min="1" max="1" width="13.5546875" bestFit="1" customWidth="1"/>
    <col min="2" max="2" width="18" bestFit="1" customWidth="1"/>
    <col min="3" max="3" width="13.6640625" bestFit="1" customWidth="1"/>
    <col min="4" max="4" width="18.109375" bestFit="1" customWidth="1"/>
    <col min="5" max="5" width="13.44140625" bestFit="1" customWidth="1"/>
    <col min="6" max="6" width="17.88671875" bestFit="1" customWidth="1"/>
    <col min="7" max="7" width="13.6640625" bestFit="1" customWidth="1"/>
    <col min="8" max="8" width="18.109375" bestFit="1" customWidth="1"/>
    <col min="9" max="9" width="13.5546875" bestFit="1" customWidth="1"/>
    <col min="10" max="10" width="18" bestFit="1" customWidth="1"/>
    <col min="11" max="11" width="12.77734375" bestFit="1" customWidth="1"/>
    <col min="12" max="12" width="17.21875" bestFit="1" customWidth="1"/>
    <col min="13" max="13" width="12.88671875" bestFit="1" customWidth="1"/>
    <col min="14" max="14" width="17.33203125" bestFit="1" customWidth="1"/>
    <col min="15" max="15" width="12.6640625" bestFit="1" customWidth="1"/>
    <col min="16" max="16" width="17.109375" bestFit="1" customWidth="1"/>
    <col min="17" max="17" width="12.88671875" bestFit="1" customWidth="1"/>
    <col min="18" max="18" width="17.33203125" bestFit="1" customWidth="1"/>
    <col min="19" max="19" width="12.77734375" bestFit="1" customWidth="1"/>
    <col min="20" max="20" width="17.21875" bestFit="1" customWidth="1"/>
  </cols>
  <sheetData>
    <row r="1" spans="1:20" s="5" customFormat="1" x14ac:dyDescent="0.3">
      <c r="A1" s="5" t="s">
        <v>144</v>
      </c>
      <c r="B1" s="5" t="s">
        <v>145</v>
      </c>
      <c r="C1" s="5" t="s">
        <v>146</v>
      </c>
      <c r="D1" s="5" t="s">
        <v>147</v>
      </c>
      <c r="E1" s="5" t="s">
        <v>148</v>
      </c>
      <c r="F1" s="5" t="s">
        <v>149</v>
      </c>
      <c r="G1" s="5" t="s">
        <v>150</v>
      </c>
      <c r="H1" s="5" t="s">
        <v>151</v>
      </c>
      <c r="I1" s="5" t="s">
        <v>152</v>
      </c>
      <c r="J1" s="5" t="s">
        <v>153</v>
      </c>
      <c r="K1" s="5" t="s">
        <v>154</v>
      </c>
      <c r="L1" s="5" t="s">
        <v>155</v>
      </c>
      <c r="M1" s="5" t="s">
        <v>156</v>
      </c>
      <c r="N1" s="5" t="s">
        <v>157</v>
      </c>
      <c r="O1" s="5" t="s">
        <v>158</v>
      </c>
      <c r="P1" s="5" t="s">
        <v>159</v>
      </c>
      <c r="Q1" s="5" t="s">
        <v>160</v>
      </c>
      <c r="R1" s="5" t="s">
        <v>161</v>
      </c>
      <c r="S1" s="5" t="s">
        <v>162</v>
      </c>
      <c r="T1" s="5" t="s">
        <v>163</v>
      </c>
    </row>
    <row r="2" spans="1:20" x14ac:dyDescent="0.3">
      <c r="A2">
        <v>29.5</v>
      </c>
      <c r="B2">
        <v>23.6</v>
      </c>
      <c r="C2">
        <v>33</v>
      </c>
      <c r="D2">
        <v>28.3</v>
      </c>
      <c r="E2">
        <v>40.1</v>
      </c>
      <c r="F2">
        <v>38.9</v>
      </c>
      <c r="G2">
        <v>45.4</v>
      </c>
      <c r="H2">
        <v>44.8</v>
      </c>
      <c r="I2">
        <v>56.6</v>
      </c>
      <c r="J2">
        <v>55.5</v>
      </c>
      <c r="K2">
        <v>13.6</v>
      </c>
      <c r="L2">
        <v>23.6</v>
      </c>
      <c r="M2">
        <v>20.5</v>
      </c>
      <c r="N2">
        <v>28.3</v>
      </c>
      <c r="O2">
        <v>31.9</v>
      </c>
      <c r="P2">
        <v>38.9</v>
      </c>
      <c r="Q2">
        <v>41.3</v>
      </c>
      <c r="R2">
        <v>44.8</v>
      </c>
      <c r="S2">
        <v>50.7</v>
      </c>
      <c r="T2">
        <v>55.5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8B8BF2-59FA-4CFE-A9B4-EB525BFBE9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Sheet6</vt:lpstr>
      <vt:lpstr>Order Report</vt:lpstr>
      <vt:lpstr>SKU Master</vt:lpstr>
      <vt:lpstr>Pincode Zones</vt:lpstr>
      <vt:lpstr>Courier company invoice</vt:lpstr>
      <vt:lpstr>Courier company Rates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 Maniar</dc:creator>
  <cp:lastModifiedBy>sravani p</cp:lastModifiedBy>
  <dcterms:created xsi:type="dcterms:W3CDTF">2021-10-05T17:49:47Z</dcterms:created>
  <dcterms:modified xsi:type="dcterms:W3CDTF">2026-02-19T14:02:15Z</dcterms:modified>
</cp:coreProperties>
</file>